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Rodrigo\Downloads\"/>
    </mc:Choice>
  </mc:AlternateContent>
  <xr:revisionPtr revIDLastSave="0" documentId="13_ncr:1_{A5E09421-F583-4100-987D-73151B662BBC}" xr6:coauthVersionLast="47" xr6:coauthVersionMax="47" xr10:uidLastSave="{00000000-0000-0000-0000-000000000000}"/>
  <bookViews>
    <workbookView xWindow="-120" yWindow="-120" windowWidth="29040" windowHeight="15840" tabRatio="928" activeTab="14" xr2:uid="{00000000-000D-0000-FFFF-FFFF00000000}"/>
  </bookViews>
  <sheets>
    <sheet name="Jan-22" sheetId="35" r:id="rId1"/>
    <sheet name="Fev-22" sheetId="36" r:id="rId2"/>
    <sheet name="Mar-22" sheetId="37" r:id="rId3"/>
    <sheet name="Abril-22" sheetId="38" r:id="rId4"/>
    <sheet name="Maio-22" sheetId="39" r:id="rId5"/>
    <sheet name="Junho-22" sheetId="49" r:id="rId6"/>
    <sheet name="Julho-22" sheetId="50" r:id="rId7"/>
    <sheet name="Agosto-22" sheetId="51" r:id="rId8"/>
    <sheet name="Setembro-22" sheetId="52" r:id="rId9"/>
    <sheet name="Outubro-22" sheetId="53" r:id="rId10"/>
    <sheet name="Novembro-22" sheetId="54" r:id="rId11"/>
    <sheet name="Produção" sheetId="4" r:id="rId12"/>
    <sheet name="Simulador" sheetId="29" r:id="rId13"/>
    <sheet name="Consumo Médio - Clientes" sheetId="22" r:id="rId14"/>
    <sheet name="Rateio" sheetId="55" r:id="rId15"/>
  </sheets>
  <definedNames>
    <definedName name="_xlnm._FilterDatabase" localSheetId="7" hidden="1">'Agosto-22'!$A$2:$I$38</definedName>
    <definedName name="_xlnm._FilterDatabase" localSheetId="13" hidden="1">'Consumo Médio - Clientes'!$A$1:$BP$160</definedName>
    <definedName name="_xlnm._FilterDatabase" localSheetId="6" hidden="1">'Julho-22'!$A$2:$G$38</definedName>
    <definedName name="_xlnm._FilterDatabase" localSheetId="10" hidden="1">'Novembro-22'!$A$2:$I$50</definedName>
    <definedName name="_xlnm._FilterDatabase" localSheetId="9" hidden="1">'Outubro-22'!$A$2:$G$50</definedName>
    <definedName name="_xlnm._FilterDatabase" localSheetId="8" hidden="1">'Setembro-22'!$A$2:$I$38</definedName>
    <definedName name="_xlnm._FilterDatabase" localSheetId="12" hidden="1">Simulador!$A$1:$O$163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159" i="29" l="1"/>
  <c r="E159" i="29" s="1"/>
  <c r="F160" i="29"/>
  <c r="E160" i="29" s="1"/>
  <c r="E161" i="29"/>
  <c r="F161" i="29"/>
  <c r="F162" i="29"/>
  <c r="E162" i="29" s="1"/>
  <c r="D159" i="29" l="1"/>
  <c r="D160" i="29"/>
  <c r="D161" i="29"/>
  <c r="D162" i="29"/>
  <c r="A159" i="29"/>
  <c r="B159" i="29"/>
  <c r="C159" i="29"/>
  <c r="A160" i="29"/>
  <c r="B160" i="29"/>
  <c r="C160" i="29"/>
  <c r="A161" i="29"/>
  <c r="B161" i="29"/>
  <c r="C161" i="29"/>
  <c r="A162" i="29"/>
  <c r="B162" i="29"/>
  <c r="C162" i="29"/>
  <c r="A158" i="29"/>
  <c r="B158" i="29"/>
  <c r="C158" i="29"/>
  <c r="G158" i="29"/>
  <c r="G162" i="29"/>
  <c r="A156" i="29"/>
  <c r="B156" i="29"/>
  <c r="C156" i="29"/>
  <c r="G156" i="29"/>
  <c r="A157" i="29"/>
  <c r="B157" i="29"/>
  <c r="C157" i="29"/>
  <c r="G157" i="29"/>
  <c r="D157" i="29"/>
  <c r="D158" i="29"/>
  <c r="A153" i="29"/>
  <c r="B153" i="29"/>
  <c r="C153" i="29"/>
  <c r="G153" i="29"/>
  <c r="A154" i="29"/>
  <c r="B154" i="29"/>
  <c r="C154" i="29"/>
  <c r="G154" i="29"/>
  <c r="A155" i="29"/>
  <c r="B155" i="29"/>
  <c r="C155" i="29"/>
  <c r="G155" i="29"/>
  <c r="D155" i="29"/>
  <c r="D156" i="29"/>
  <c r="D154" i="29"/>
  <c r="A150" i="29"/>
  <c r="B150" i="29"/>
  <c r="C150" i="29"/>
  <c r="G150" i="29"/>
  <c r="A151" i="29"/>
  <c r="B151" i="29"/>
  <c r="C151" i="29"/>
  <c r="G151" i="29"/>
  <c r="A152" i="29"/>
  <c r="B152" i="29"/>
  <c r="C152" i="29"/>
  <c r="G152" i="29"/>
  <c r="D153" i="29"/>
  <c r="D152" i="29"/>
  <c r="D151" i="29"/>
  <c r="D150" i="29"/>
  <c r="A147" i="29"/>
  <c r="B147" i="29"/>
  <c r="C147" i="29"/>
  <c r="G147" i="29"/>
  <c r="A148" i="29"/>
  <c r="B148" i="29"/>
  <c r="C148" i="29"/>
  <c r="G148" i="29"/>
  <c r="A149" i="29"/>
  <c r="B149" i="29"/>
  <c r="C149" i="29"/>
  <c r="G149" i="29"/>
  <c r="D149" i="29"/>
  <c r="D148" i="29"/>
  <c r="D147" i="29"/>
  <c r="A136" i="29"/>
  <c r="A146" i="29"/>
  <c r="B146" i="29"/>
  <c r="C146" i="29"/>
  <c r="G146" i="29"/>
  <c r="A144" i="29"/>
  <c r="B144" i="29"/>
  <c r="C144" i="29"/>
  <c r="G144" i="29"/>
  <c r="A145" i="29"/>
  <c r="B145" i="29"/>
  <c r="C145" i="29"/>
  <c r="G145" i="29"/>
  <c r="D146" i="29"/>
  <c r="A141" i="29"/>
  <c r="B141" i="29"/>
  <c r="C141" i="29"/>
  <c r="G141" i="29"/>
  <c r="A142" i="29"/>
  <c r="B142" i="29"/>
  <c r="C142" i="29"/>
  <c r="G142" i="29"/>
  <c r="A143" i="29"/>
  <c r="B143" i="29"/>
  <c r="C143" i="29"/>
  <c r="G143" i="29"/>
  <c r="B136" i="29"/>
  <c r="C136" i="29"/>
  <c r="G136" i="29"/>
  <c r="A137" i="29"/>
  <c r="B137" i="29"/>
  <c r="C137" i="29"/>
  <c r="G137" i="29"/>
  <c r="A138" i="29"/>
  <c r="B138" i="29"/>
  <c r="C138" i="29"/>
  <c r="G138" i="29"/>
  <c r="A139" i="29"/>
  <c r="B139" i="29"/>
  <c r="C139" i="29"/>
  <c r="G139" i="29"/>
  <c r="A140" i="29"/>
  <c r="B140" i="29"/>
  <c r="C140" i="29"/>
  <c r="G140" i="29"/>
  <c r="D139" i="29"/>
  <c r="D140" i="29"/>
  <c r="D141" i="29"/>
  <c r="D142" i="29"/>
  <c r="D143" i="29"/>
  <c r="D144" i="29"/>
  <c r="D145" i="29"/>
  <c r="D136" i="29"/>
  <c r="D137" i="29"/>
  <c r="D138" i="29"/>
  <c r="AV178" i="22"/>
  <c r="AV166" i="22"/>
  <c r="I163" i="29" l="1"/>
  <c r="H163" i="29"/>
  <c r="J163" i="29"/>
  <c r="K163" i="29"/>
  <c r="O163" i="29"/>
  <c r="N163" i="29"/>
  <c r="M163" i="29"/>
  <c r="L163" i="29"/>
  <c r="G129" i="29"/>
  <c r="G130" i="29"/>
  <c r="G131" i="29"/>
  <c r="G132" i="29"/>
  <c r="G133" i="29"/>
  <c r="G134" i="29"/>
  <c r="G135" i="29"/>
  <c r="A131" i="29"/>
  <c r="B131" i="29"/>
  <c r="C131" i="29"/>
  <c r="A132" i="29"/>
  <c r="B132" i="29"/>
  <c r="C132" i="29"/>
  <c r="A133" i="29"/>
  <c r="B133" i="29"/>
  <c r="C133" i="29"/>
  <c r="A134" i="29"/>
  <c r="B134" i="29"/>
  <c r="C134" i="29"/>
  <c r="A135" i="29"/>
  <c r="B135" i="29"/>
  <c r="C135" i="29"/>
  <c r="D132" i="29"/>
  <c r="D131" i="29"/>
  <c r="D134" i="29"/>
  <c r="D133" i="29"/>
  <c r="L2" i="29"/>
  <c r="D135" i="29"/>
  <c r="A129" i="29"/>
  <c r="B129" i="29"/>
  <c r="C129" i="29"/>
  <c r="A130" i="29"/>
  <c r="B130" i="29"/>
  <c r="C130" i="29"/>
  <c r="D129" i="29"/>
  <c r="D130" i="29"/>
  <c r="A128" i="29"/>
  <c r="B128" i="29"/>
  <c r="C128" i="29"/>
  <c r="G128" i="29"/>
  <c r="D128" i="29"/>
  <c r="A127" i="29"/>
  <c r="B127" i="29"/>
  <c r="C127" i="29"/>
  <c r="G127" i="29"/>
  <c r="D127" i="29"/>
  <c r="A126" i="29"/>
  <c r="B126" i="29"/>
  <c r="C126" i="29"/>
  <c r="G126" i="29"/>
  <c r="D126" i="29"/>
  <c r="A122" i="29"/>
  <c r="B122" i="29"/>
  <c r="C122" i="29"/>
  <c r="G122" i="29"/>
  <c r="A123" i="29"/>
  <c r="B123" i="29"/>
  <c r="C123" i="29"/>
  <c r="G123" i="29"/>
  <c r="A124" i="29"/>
  <c r="B124" i="29"/>
  <c r="C124" i="29"/>
  <c r="G124" i="29"/>
  <c r="A125" i="29"/>
  <c r="B125" i="29"/>
  <c r="C125" i="29"/>
  <c r="G125" i="29"/>
  <c r="D124" i="29"/>
  <c r="D125" i="29"/>
  <c r="D123" i="29" l="1"/>
  <c r="G121" i="29"/>
  <c r="A121" i="29"/>
  <c r="B121" i="29"/>
  <c r="C121" i="29"/>
  <c r="D122" i="29"/>
  <c r="D113" i="29"/>
  <c r="D114" i="29"/>
  <c r="D115" i="29"/>
  <c r="D116" i="29"/>
  <c r="D117" i="29"/>
  <c r="D118" i="29"/>
  <c r="D119" i="29"/>
  <c r="D120" i="29"/>
  <c r="D121" i="29"/>
  <c r="AU178" i="22"/>
  <c r="AU166" i="22"/>
  <c r="A120" i="29"/>
  <c r="B120" i="29"/>
  <c r="C120" i="29"/>
  <c r="G120" i="29"/>
  <c r="A119" i="29"/>
  <c r="B119" i="29"/>
  <c r="C119" i="29"/>
  <c r="G119" i="29"/>
  <c r="A117" i="29"/>
  <c r="B117" i="29"/>
  <c r="C117" i="29"/>
  <c r="G117" i="29"/>
  <c r="A118" i="29"/>
  <c r="B118" i="29"/>
  <c r="C118" i="29"/>
  <c r="G118" i="29"/>
  <c r="A113" i="29"/>
  <c r="B113" i="29"/>
  <c r="C113" i="29"/>
  <c r="G113" i="29"/>
  <c r="A114" i="29"/>
  <c r="B114" i="29"/>
  <c r="C114" i="29"/>
  <c r="G114" i="29"/>
  <c r="A115" i="29"/>
  <c r="B115" i="29"/>
  <c r="C115" i="29"/>
  <c r="G115" i="29"/>
  <c r="A116" i="29"/>
  <c r="B116" i="29"/>
  <c r="C116" i="29"/>
  <c r="G116" i="29"/>
  <c r="D6" i="29" l="1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D51" i="29"/>
  <c r="D52" i="29"/>
  <c r="D53" i="29"/>
  <c r="D54" i="29"/>
  <c r="D55" i="29"/>
  <c r="D56" i="29"/>
  <c r="D57" i="29"/>
  <c r="D58" i="29"/>
  <c r="D59" i="29"/>
  <c r="D60" i="29"/>
  <c r="D61" i="29"/>
  <c r="D62" i="29"/>
  <c r="D63" i="29"/>
  <c r="D64" i="29"/>
  <c r="D65" i="29"/>
  <c r="D66" i="29"/>
  <c r="D67" i="29"/>
  <c r="D68" i="29"/>
  <c r="D69" i="29"/>
  <c r="D70" i="29"/>
  <c r="D71" i="29"/>
  <c r="D73" i="29"/>
  <c r="D74" i="29"/>
  <c r="D75" i="29"/>
  <c r="D76" i="29"/>
  <c r="D77" i="29"/>
  <c r="D78" i="29"/>
  <c r="D80" i="29"/>
  <c r="D81" i="29"/>
  <c r="D82" i="29"/>
  <c r="D83" i="29"/>
  <c r="D84" i="29"/>
  <c r="D85" i="29"/>
  <c r="D86" i="29"/>
  <c r="D87" i="29"/>
  <c r="D88" i="29"/>
  <c r="D89" i="29"/>
  <c r="D90" i="29"/>
  <c r="D91" i="29"/>
  <c r="D93" i="29"/>
  <c r="D94" i="29"/>
  <c r="D95" i="29"/>
  <c r="D96" i="29"/>
  <c r="D97" i="29"/>
  <c r="D98" i="29"/>
  <c r="D99" i="29"/>
  <c r="D100" i="29"/>
  <c r="D101" i="29"/>
  <c r="D102" i="29"/>
  <c r="D103" i="29"/>
  <c r="D104" i="29"/>
  <c r="D105" i="29"/>
  <c r="D106" i="29"/>
  <c r="D107" i="29"/>
  <c r="D108" i="29"/>
  <c r="D109" i="29"/>
  <c r="D110" i="29"/>
  <c r="D111" i="29"/>
  <c r="D112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35" i="29"/>
  <c r="G36" i="29"/>
  <c r="G37" i="29"/>
  <c r="G38" i="29"/>
  <c r="G39" i="29"/>
  <c r="G40" i="29"/>
  <c r="G41" i="29"/>
  <c r="G42" i="29"/>
  <c r="G43" i="29"/>
  <c r="G44" i="29"/>
  <c r="G45" i="29"/>
  <c r="G46" i="29"/>
  <c r="G47" i="29"/>
  <c r="G48" i="29"/>
  <c r="G49" i="29"/>
  <c r="G50" i="29"/>
  <c r="G51" i="29"/>
  <c r="G52" i="29"/>
  <c r="G53" i="29"/>
  <c r="G54" i="29"/>
  <c r="G55" i="29"/>
  <c r="G56" i="29"/>
  <c r="G57" i="29"/>
  <c r="G58" i="29"/>
  <c r="G59" i="29"/>
  <c r="G60" i="29"/>
  <c r="G61" i="29"/>
  <c r="G62" i="29"/>
  <c r="G63" i="29"/>
  <c r="G64" i="29"/>
  <c r="G65" i="29"/>
  <c r="G66" i="29"/>
  <c r="G67" i="29"/>
  <c r="G68" i="29"/>
  <c r="G69" i="29"/>
  <c r="G70" i="29"/>
  <c r="G71" i="29"/>
  <c r="G72" i="29"/>
  <c r="G73" i="29"/>
  <c r="G74" i="29"/>
  <c r="G75" i="29"/>
  <c r="G76" i="29"/>
  <c r="G77" i="29"/>
  <c r="G78" i="29"/>
  <c r="G79" i="29"/>
  <c r="G80" i="29"/>
  <c r="G81" i="29"/>
  <c r="G82" i="29"/>
  <c r="G83" i="29"/>
  <c r="G84" i="29"/>
  <c r="G85" i="29"/>
  <c r="G86" i="29"/>
  <c r="G87" i="29"/>
  <c r="G88" i="29"/>
  <c r="G89" i="29"/>
  <c r="G90" i="29"/>
  <c r="G91" i="29"/>
  <c r="G92" i="29"/>
  <c r="G93" i="29"/>
  <c r="G94" i="29"/>
  <c r="G95" i="29"/>
  <c r="G96" i="29"/>
  <c r="G97" i="29"/>
  <c r="G98" i="29"/>
  <c r="G99" i="29"/>
  <c r="G100" i="29"/>
  <c r="G101" i="29"/>
  <c r="G102" i="29"/>
  <c r="G103" i="29"/>
  <c r="G104" i="29"/>
  <c r="G105" i="29"/>
  <c r="G106" i="29"/>
  <c r="G107" i="29"/>
  <c r="G108" i="29"/>
  <c r="G109" i="29"/>
  <c r="G110" i="29"/>
  <c r="G111" i="29"/>
  <c r="G112" i="29"/>
  <c r="D79" i="29"/>
  <c r="D92" i="29"/>
  <c r="B5" i="29"/>
  <c r="C5" i="29"/>
  <c r="B6" i="29"/>
  <c r="C6" i="29"/>
  <c r="B7" i="29"/>
  <c r="C7" i="29"/>
  <c r="B8" i="29"/>
  <c r="C8" i="29"/>
  <c r="B9" i="29"/>
  <c r="C9" i="29"/>
  <c r="B10" i="29"/>
  <c r="C10" i="29"/>
  <c r="B11" i="29"/>
  <c r="C11" i="29"/>
  <c r="B12" i="29"/>
  <c r="C12" i="29"/>
  <c r="B13" i="29"/>
  <c r="C13" i="29"/>
  <c r="B14" i="29"/>
  <c r="C14" i="29"/>
  <c r="B15" i="29"/>
  <c r="C15" i="29"/>
  <c r="B16" i="29"/>
  <c r="C16" i="29"/>
  <c r="B17" i="29"/>
  <c r="C17" i="29"/>
  <c r="B18" i="29"/>
  <c r="C18" i="29"/>
  <c r="B19" i="29"/>
  <c r="C19" i="29"/>
  <c r="B20" i="29"/>
  <c r="C20" i="29"/>
  <c r="B21" i="29"/>
  <c r="C21" i="29"/>
  <c r="B22" i="29"/>
  <c r="C22" i="29"/>
  <c r="B23" i="29"/>
  <c r="C23" i="29"/>
  <c r="B24" i="29"/>
  <c r="C24" i="29"/>
  <c r="B25" i="29"/>
  <c r="C25" i="29"/>
  <c r="B26" i="29"/>
  <c r="C26" i="29"/>
  <c r="B27" i="29"/>
  <c r="C27" i="29"/>
  <c r="B28" i="29"/>
  <c r="C28" i="29"/>
  <c r="B29" i="29"/>
  <c r="C29" i="29"/>
  <c r="B30" i="29"/>
  <c r="C30" i="29"/>
  <c r="B31" i="29"/>
  <c r="C31" i="29"/>
  <c r="B32" i="29"/>
  <c r="C32" i="29"/>
  <c r="B33" i="29"/>
  <c r="C33" i="29"/>
  <c r="B34" i="29"/>
  <c r="C34" i="29"/>
  <c r="B35" i="29"/>
  <c r="C35" i="29"/>
  <c r="B36" i="29"/>
  <c r="C36" i="29"/>
  <c r="B37" i="29"/>
  <c r="C37" i="29"/>
  <c r="B38" i="29"/>
  <c r="C38" i="29"/>
  <c r="B39" i="29"/>
  <c r="C39" i="29"/>
  <c r="B40" i="29"/>
  <c r="C40" i="29"/>
  <c r="B41" i="29"/>
  <c r="C41" i="29"/>
  <c r="B42" i="29"/>
  <c r="C42" i="29"/>
  <c r="B43" i="29"/>
  <c r="C43" i="29"/>
  <c r="B44" i="29"/>
  <c r="C44" i="29"/>
  <c r="B45" i="29"/>
  <c r="C45" i="29"/>
  <c r="B46" i="29"/>
  <c r="C46" i="29"/>
  <c r="B47" i="29"/>
  <c r="C47" i="29"/>
  <c r="B48" i="29"/>
  <c r="C48" i="29"/>
  <c r="B49" i="29"/>
  <c r="C49" i="29"/>
  <c r="B50" i="29"/>
  <c r="C50" i="29"/>
  <c r="B51" i="29"/>
  <c r="C51" i="29"/>
  <c r="B52" i="29"/>
  <c r="C52" i="29"/>
  <c r="B53" i="29"/>
  <c r="C53" i="29"/>
  <c r="B54" i="29"/>
  <c r="C54" i="29"/>
  <c r="B55" i="29"/>
  <c r="C55" i="29"/>
  <c r="B56" i="29"/>
  <c r="C56" i="29"/>
  <c r="B57" i="29"/>
  <c r="C57" i="29"/>
  <c r="B58" i="29"/>
  <c r="C58" i="29"/>
  <c r="B59" i="29"/>
  <c r="C59" i="29"/>
  <c r="B60" i="29"/>
  <c r="C60" i="29"/>
  <c r="B61" i="29"/>
  <c r="C61" i="29"/>
  <c r="B62" i="29"/>
  <c r="C62" i="29"/>
  <c r="B63" i="29"/>
  <c r="C63" i="29"/>
  <c r="B64" i="29"/>
  <c r="C64" i="29"/>
  <c r="B65" i="29"/>
  <c r="C65" i="29"/>
  <c r="B66" i="29"/>
  <c r="C66" i="29"/>
  <c r="B67" i="29"/>
  <c r="C67" i="29"/>
  <c r="B68" i="29"/>
  <c r="C68" i="29"/>
  <c r="B69" i="29"/>
  <c r="C69" i="29"/>
  <c r="B70" i="29"/>
  <c r="C70" i="29"/>
  <c r="B71" i="29"/>
  <c r="C71" i="29"/>
  <c r="B72" i="29"/>
  <c r="C72" i="29"/>
  <c r="B73" i="29"/>
  <c r="C73" i="29"/>
  <c r="B74" i="29"/>
  <c r="C74" i="29"/>
  <c r="B75" i="29"/>
  <c r="C75" i="29"/>
  <c r="B76" i="29"/>
  <c r="C76" i="29"/>
  <c r="B77" i="29"/>
  <c r="C77" i="29"/>
  <c r="B78" i="29"/>
  <c r="C78" i="29"/>
  <c r="B79" i="29"/>
  <c r="C79" i="29"/>
  <c r="B80" i="29"/>
  <c r="C80" i="29"/>
  <c r="B81" i="29"/>
  <c r="C81" i="29"/>
  <c r="B82" i="29"/>
  <c r="C82" i="29"/>
  <c r="B83" i="29"/>
  <c r="C83" i="29"/>
  <c r="B84" i="29"/>
  <c r="C84" i="29"/>
  <c r="B85" i="29"/>
  <c r="C85" i="29"/>
  <c r="B86" i="29"/>
  <c r="C86" i="29"/>
  <c r="B87" i="29"/>
  <c r="C87" i="29"/>
  <c r="B88" i="29"/>
  <c r="C88" i="29"/>
  <c r="B89" i="29"/>
  <c r="C89" i="29"/>
  <c r="B90" i="29"/>
  <c r="C90" i="29"/>
  <c r="B91" i="29"/>
  <c r="C91" i="29"/>
  <c r="B92" i="29"/>
  <c r="C92" i="29"/>
  <c r="B93" i="29"/>
  <c r="C93" i="29"/>
  <c r="B94" i="29"/>
  <c r="C94" i="29"/>
  <c r="B95" i="29"/>
  <c r="C95" i="29"/>
  <c r="B96" i="29"/>
  <c r="C96" i="29"/>
  <c r="B97" i="29"/>
  <c r="C97" i="29"/>
  <c r="B98" i="29"/>
  <c r="C98" i="29"/>
  <c r="B99" i="29"/>
  <c r="C99" i="29"/>
  <c r="B100" i="29"/>
  <c r="C100" i="29"/>
  <c r="B101" i="29"/>
  <c r="C101" i="29"/>
  <c r="B102" i="29"/>
  <c r="C102" i="29"/>
  <c r="B103" i="29"/>
  <c r="C103" i="29"/>
  <c r="B104" i="29"/>
  <c r="C104" i="29"/>
  <c r="B105" i="29"/>
  <c r="C105" i="29"/>
  <c r="B106" i="29"/>
  <c r="C106" i="29"/>
  <c r="B107" i="29"/>
  <c r="C107" i="29"/>
  <c r="B108" i="29"/>
  <c r="C108" i="29"/>
  <c r="B109" i="29"/>
  <c r="C109" i="29"/>
  <c r="B110" i="29"/>
  <c r="C110" i="29"/>
  <c r="B111" i="29"/>
  <c r="C111" i="29"/>
  <c r="B112" i="29"/>
  <c r="C112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62" i="29"/>
  <c r="A63" i="29"/>
  <c r="A64" i="29"/>
  <c r="A65" i="29"/>
  <c r="A66" i="29"/>
  <c r="A67" i="29"/>
  <c r="A68" i="29"/>
  <c r="A69" i="29"/>
  <c r="A70" i="29"/>
  <c r="A71" i="29"/>
  <c r="A72" i="29"/>
  <c r="A73" i="29"/>
  <c r="A74" i="29"/>
  <c r="A75" i="29"/>
  <c r="A76" i="29"/>
  <c r="A77" i="29"/>
  <c r="A78" i="29"/>
  <c r="A79" i="29"/>
  <c r="A80" i="29"/>
  <c r="A81" i="29"/>
  <c r="A82" i="29"/>
  <c r="A83" i="29"/>
  <c r="A84" i="29"/>
  <c r="A85" i="29"/>
  <c r="A86" i="29"/>
  <c r="A87" i="29"/>
  <c r="A88" i="29"/>
  <c r="A89" i="29"/>
  <c r="A90" i="29"/>
  <c r="A91" i="29"/>
  <c r="A92" i="29"/>
  <c r="A93" i="29"/>
  <c r="A94" i="29"/>
  <c r="A95" i="29"/>
  <c r="A96" i="29"/>
  <c r="A97" i="29"/>
  <c r="A98" i="29"/>
  <c r="A99" i="29"/>
  <c r="A100" i="29"/>
  <c r="A101" i="29"/>
  <c r="A102" i="29"/>
  <c r="A103" i="29"/>
  <c r="A104" i="29"/>
  <c r="A105" i="29"/>
  <c r="A106" i="29"/>
  <c r="A107" i="29"/>
  <c r="A108" i="29"/>
  <c r="A109" i="29"/>
  <c r="A110" i="29"/>
  <c r="A111" i="29"/>
  <c r="A112" i="29"/>
  <c r="A5" i="29"/>
  <c r="G5" i="29"/>
  <c r="J2" i="29"/>
  <c r="D72" i="29" l="1"/>
  <c r="D5" i="29"/>
  <c r="H2" i="29"/>
  <c r="I2" i="29"/>
  <c r="K2" i="29"/>
  <c r="M2" i="29"/>
  <c r="N2" i="29"/>
  <c r="O2" i="29"/>
  <c r="AR178" i="22"/>
  <c r="AR166" i="22"/>
  <c r="L42" i="53"/>
  <c r="L45" i="53"/>
  <c r="M45" i="53" s="1"/>
  <c r="O45" i="53" s="1"/>
  <c r="P45" i="53" s="1"/>
  <c r="J14" i="53"/>
  <c r="M14" i="53" s="1"/>
  <c r="J15" i="53"/>
  <c r="M15" i="53" s="1"/>
  <c r="J16" i="53"/>
  <c r="M16" i="53" s="1"/>
  <c r="J17" i="53"/>
  <c r="M17" i="53" s="1"/>
  <c r="J18" i="53"/>
  <c r="M18" i="53" s="1"/>
  <c r="J19" i="53"/>
  <c r="M19" i="53" s="1"/>
  <c r="J20" i="53"/>
  <c r="M20" i="53" s="1"/>
  <c r="J21" i="53"/>
  <c r="M21" i="53" s="1"/>
  <c r="J22" i="53"/>
  <c r="M22" i="53" s="1"/>
  <c r="J23" i="53"/>
  <c r="M23" i="53" s="1"/>
  <c r="J25" i="53"/>
  <c r="M25" i="53" s="1"/>
  <c r="J26" i="53"/>
  <c r="M26" i="53" s="1"/>
  <c r="O26" i="53" s="1"/>
  <c r="P26" i="53" s="1"/>
  <c r="J27" i="53"/>
  <c r="M27" i="53" s="1"/>
  <c r="O27" i="53" s="1"/>
  <c r="P27" i="53" s="1"/>
  <c r="J28" i="53"/>
  <c r="M28" i="53" s="1"/>
  <c r="J29" i="53"/>
  <c r="M29" i="53" s="1"/>
  <c r="J30" i="53"/>
  <c r="M30" i="53" s="1"/>
  <c r="J31" i="53"/>
  <c r="M31" i="53" s="1"/>
  <c r="J32" i="53"/>
  <c r="M32" i="53" s="1"/>
  <c r="J33" i="53"/>
  <c r="M33" i="53" s="1"/>
  <c r="J34" i="53"/>
  <c r="M34" i="53" s="1"/>
  <c r="J35" i="53"/>
  <c r="M35" i="53"/>
  <c r="J36" i="53"/>
  <c r="M36" i="53" s="1"/>
  <c r="J37" i="53"/>
  <c r="J38" i="53"/>
  <c r="M38" i="53" s="1"/>
  <c r="J39" i="53"/>
  <c r="M39" i="53" s="1"/>
  <c r="O39" i="53" s="1"/>
  <c r="P39" i="53" s="1"/>
  <c r="J40" i="53"/>
  <c r="M40" i="53"/>
  <c r="O40" i="53" s="1"/>
  <c r="P40" i="53" s="1"/>
  <c r="J41" i="53"/>
  <c r="M41" i="53" s="1"/>
  <c r="J24" i="53"/>
  <c r="M24" i="53" s="1"/>
  <c r="J42" i="53"/>
  <c r="J43" i="53"/>
  <c r="M43" i="53" s="1"/>
  <c r="J44" i="53"/>
  <c r="M44" i="53" s="1"/>
  <c r="O44" i="53" s="1"/>
  <c r="P44" i="53" s="1"/>
  <c r="J45" i="53"/>
  <c r="J46" i="53"/>
  <c r="M46" i="53"/>
  <c r="J47" i="53"/>
  <c r="M47" i="53" s="1"/>
  <c r="J48" i="53"/>
  <c r="M48" i="53" s="1"/>
  <c r="O48" i="53" s="1"/>
  <c r="P48" i="53" s="1"/>
  <c r="J49" i="53"/>
  <c r="M49" i="53" s="1"/>
  <c r="J3" i="53"/>
  <c r="M3" i="53" s="1"/>
  <c r="J4" i="53"/>
  <c r="M4" i="53" s="1"/>
  <c r="J5" i="53"/>
  <c r="M5" i="53" s="1"/>
  <c r="J6" i="53"/>
  <c r="M6" i="53" s="1"/>
  <c r="J7" i="53"/>
  <c r="M7" i="53" s="1"/>
  <c r="J8" i="53"/>
  <c r="M8" i="53" s="1"/>
  <c r="J9" i="53"/>
  <c r="M9" i="53" s="1"/>
  <c r="J10" i="53"/>
  <c r="M10" i="53" s="1"/>
  <c r="J11" i="53"/>
  <c r="M11" i="53" s="1"/>
  <c r="J13" i="53"/>
  <c r="M13" i="53" s="1"/>
  <c r="J12" i="53"/>
  <c r="M12" i="53" s="1"/>
  <c r="D50" i="53"/>
  <c r="D50" i="54"/>
  <c r="AW178" i="22"/>
  <c r="AW166" i="22"/>
  <c r="AX170" i="22"/>
  <c r="AX178" i="22" s="1"/>
  <c r="C54" i="52"/>
  <c r="B54" i="52"/>
  <c r="A54" i="52"/>
  <c r="AQ178" i="22"/>
  <c r="AQ166" i="22"/>
  <c r="D38" i="52"/>
  <c r="AP166" i="22"/>
  <c r="AP178" i="22"/>
  <c r="AF178" i="22"/>
  <c r="AG178" i="22"/>
  <c r="AH178" i="22"/>
  <c r="AI178" i="22"/>
  <c r="AJ178" i="22"/>
  <c r="AK178" i="22"/>
  <c r="AL178" i="22"/>
  <c r="AM178" i="22"/>
  <c r="AN178" i="22"/>
  <c r="AO178" i="22"/>
  <c r="D38" i="51"/>
  <c r="D166" i="22"/>
  <c r="E166" i="22"/>
  <c r="F166" i="22"/>
  <c r="G166" i="22"/>
  <c r="H166" i="22"/>
  <c r="I166" i="22"/>
  <c r="J166" i="22"/>
  <c r="K166" i="22"/>
  <c r="L166" i="22"/>
  <c r="M166" i="22"/>
  <c r="N166" i="22"/>
  <c r="O166" i="22"/>
  <c r="P166" i="22"/>
  <c r="Q166" i="22"/>
  <c r="R166" i="22"/>
  <c r="S166" i="22"/>
  <c r="T166" i="22"/>
  <c r="U166" i="22"/>
  <c r="V166" i="22"/>
  <c r="W166" i="22"/>
  <c r="X166" i="22"/>
  <c r="Y166" i="22"/>
  <c r="Z166" i="22"/>
  <c r="AA166" i="22"/>
  <c r="AB166" i="22"/>
  <c r="AC166" i="22"/>
  <c r="AD166" i="22"/>
  <c r="AE166" i="22"/>
  <c r="AF166" i="22"/>
  <c r="AG166" i="22"/>
  <c r="AH166" i="22"/>
  <c r="AI166" i="22"/>
  <c r="AJ166" i="22"/>
  <c r="AK166" i="22"/>
  <c r="AL166" i="22"/>
  <c r="AM166" i="22"/>
  <c r="AN166" i="22"/>
  <c r="AO166" i="22"/>
  <c r="D46" i="49"/>
  <c r="D38" i="50"/>
  <c r="D35" i="39"/>
  <c r="D35" i="38"/>
  <c r="AE178" i="22"/>
  <c r="D35" i="37"/>
  <c r="D35" i="36"/>
  <c r="D35" i="35"/>
  <c r="AD178" i="22"/>
  <c r="AC178" i="22"/>
  <c r="AB178" i="22"/>
  <c r="AA178" i="22"/>
  <c r="Z178" i="22"/>
  <c r="X178" i="22"/>
  <c r="Y178" i="22"/>
  <c r="W178" i="22"/>
  <c r="V178" i="22"/>
  <c r="U178" i="22"/>
  <c r="F178" i="22"/>
  <c r="G178" i="22"/>
  <c r="H178" i="22"/>
  <c r="I178" i="22"/>
  <c r="J178" i="22"/>
  <c r="K178" i="22"/>
  <c r="L178" i="22"/>
  <c r="M178" i="22"/>
  <c r="N178" i="22"/>
  <c r="O178" i="22"/>
  <c r="P178" i="22"/>
  <c r="Q178" i="22"/>
  <c r="R178" i="22"/>
  <c r="S178" i="22"/>
  <c r="T178" i="22"/>
  <c r="K15" i="4"/>
  <c r="E178" i="22"/>
  <c r="D178" i="22"/>
  <c r="J15" i="4"/>
  <c r="F15" i="4"/>
  <c r="G6" i="4"/>
  <c r="G5" i="4"/>
  <c r="G4" i="4"/>
  <c r="G3" i="4"/>
  <c r="C14" i="4"/>
  <c r="B15" i="4"/>
  <c r="AY166" i="22"/>
  <c r="F157" i="29" l="1"/>
  <c r="E157" i="29" s="1"/>
  <c r="F156" i="29"/>
  <c r="E156" i="29" s="1"/>
  <c r="F158" i="29"/>
  <c r="E158" i="29" s="1"/>
  <c r="F154" i="29"/>
  <c r="E154" i="29" s="1"/>
  <c r="F153" i="29"/>
  <c r="E153" i="29" s="1"/>
  <c r="F155" i="29"/>
  <c r="E155" i="29" s="1"/>
  <c r="F150" i="29"/>
  <c r="E150" i="29" s="1"/>
  <c r="F152" i="29"/>
  <c r="E152" i="29" s="1"/>
  <c r="F151" i="29"/>
  <c r="E151" i="29" s="1"/>
  <c r="F147" i="29"/>
  <c r="E147" i="29" s="1"/>
  <c r="F149" i="29"/>
  <c r="E149" i="29" s="1"/>
  <c r="F148" i="29"/>
  <c r="E148" i="29" s="1"/>
  <c r="F146" i="29"/>
  <c r="E146" i="29" s="1"/>
  <c r="F144" i="29"/>
  <c r="E144" i="29" s="1"/>
  <c r="F145" i="29"/>
  <c r="E145" i="29" s="1"/>
  <c r="F142" i="29"/>
  <c r="E142" i="29" s="1"/>
  <c r="F136" i="29"/>
  <c r="E136" i="29" s="1"/>
  <c r="F141" i="29"/>
  <c r="E141" i="29" s="1"/>
  <c r="F138" i="29"/>
  <c r="E138" i="29" s="1"/>
  <c r="F140" i="29"/>
  <c r="E140" i="29" s="1"/>
  <c r="F143" i="29"/>
  <c r="E143" i="29" s="1"/>
  <c r="F137" i="29"/>
  <c r="E137" i="29" s="1"/>
  <c r="F139" i="29"/>
  <c r="E139" i="29" s="1"/>
  <c r="F134" i="29"/>
  <c r="E134" i="29" s="1"/>
  <c r="F133" i="29"/>
  <c r="E133" i="29" s="1"/>
  <c r="F131" i="29"/>
  <c r="E131" i="29" s="1"/>
  <c r="F135" i="29"/>
  <c r="E135" i="29" s="1"/>
  <c r="F132" i="29"/>
  <c r="E132" i="29" s="1"/>
  <c r="F45" i="29"/>
  <c r="E45" i="29" s="1"/>
  <c r="F53" i="29"/>
  <c r="E53" i="29" s="1"/>
  <c r="F77" i="29"/>
  <c r="E77" i="29" s="1"/>
  <c r="F85" i="29"/>
  <c r="E85" i="29" s="1"/>
  <c r="F120" i="29"/>
  <c r="E120" i="29" s="1"/>
  <c r="F54" i="29"/>
  <c r="E54" i="29" s="1"/>
  <c r="F91" i="29"/>
  <c r="E91" i="29" s="1"/>
  <c r="F129" i="29"/>
  <c r="E129" i="29" s="1"/>
  <c r="F66" i="29"/>
  <c r="E66" i="29" s="1"/>
  <c r="F117" i="29"/>
  <c r="E117" i="29" s="1"/>
  <c r="F5" i="29"/>
  <c r="E5" i="29" s="1"/>
  <c r="F39" i="29"/>
  <c r="E39" i="29" s="1"/>
  <c r="F47" i="29"/>
  <c r="E47" i="29" s="1"/>
  <c r="F55" i="29"/>
  <c r="E55" i="29" s="1"/>
  <c r="F63" i="29"/>
  <c r="E63" i="29" s="1"/>
  <c r="F71" i="29"/>
  <c r="E71" i="29" s="1"/>
  <c r="F79" i="29"/>
  <c r="E79" i="29" s="1"/>
  <c r="F92" i="29"/>
  <c r="E92" i="29" s="1"/>
  <c r="F98" i="29"/>
  <c r="E98" i="29" s="1"/>
  <c r="F106" i="29"/>
  <c r="E106" i="29" s="1"/>
  <c r="F114" i="29"/>
  <c r="E114" i="29" s="1"/>
  <c r="F122" i="29"/>
  <c r="E122" i="29" s="1"/>
  <c r="F130" i="29"/>
  <c r="E130" i="29" s="1"/>
  <c r="F17" i="29"/>
  <c r="E17" i="29" s="1"/>
  <c r="F25" i="29"/>
  <c r="E25" i="29" s="1"/>
  <c r="F33" i="29"/>
  <c r="E33" i="29" s="1"/>
  <c r="F8" i="29"/>
  <c r="E8" i="29" s="1"/>
  <c r="F58" i="29"/>
  <c r="E58" i="29" s="1"/>
  <c r="F125" i="29"/>
  <c r="E125" i="29" s="1"/>
  <c r="F40" i="29"/>
  <c r="E40" i="29" s="1"/>
  <c r="F48" i="29"/>
  <c r="E48" i="29" s="1"/>
  <c r="F56" i="29"/>
  <c r="E56" i="29" s="1"/>
  <c r="F64" i="29"/>
  <c r="E64" i="29" s="1"/>
  <c r="F72" i="29"/>
  <c r="E72" i="29" s="1"/>
  <c r="F80" i="29"/>
  <c r="E80" i="29" s="1"/>
  <c r="F93" i="29"/>
  <c r="E93" i="29" s="1"/>
  <c r="F99" i="29"/>
  <c r="E99" i="29" s="1"/>
  <c r="F107" i="29"/>
  <c r="E107" i="29" s="1"/>
  <c r="F115" i="29"/>
  <c r="E115" i="29" s="1"/>
  <c r="F123" i="29"/>
  <c r="E123" i="29" s="1"/>
  <c r="F18" i="29"/>
  <c r="E18" i="29" s="1"/>
  <c r="F26" i="29"/>
  <c r="E26" i="29" s="1"/>
  <c r="F34" i="29"/>
  <c r="E34" i="29" s="1"/>
  <c r="F9" i="29"/>
  <c r="E9" i="29" s="1"/>
  <c r="F41" i="29"/>
  <c r="E41" i="29" s="1"/>
  <c r="F49" i="29"/>
  <c r="E49" i="29" s="1"/>
  <c r="F57" i="29"/>
  <c r="E57" i="29" s="1"/>
  <c r="F65" i="29"/>
  <c r="E65" i="29" s="1"/>
  <c r="F73" i="29"/>
  <c r="E73" i="29" s="1"/>
  <c r="F81" i="29"/>
  <c r="E81" i="29" s="1"/>
  <c r="F86" i="29"/>
  <c r="E86" i="29" s="1"/>
  <c r="F94" i="29"/>
  <c r="E94" i="29" s="1"/>
  <c r="F116" i="29"/>
  <c r="E116" i="29" s="1"/>
  <c r="F19" i="29"/>
  <c r="E19" i="29" s="1"/>
  <c r="F10" i="29"/>
  <c r="E10" i="29" s="1"/>
  <c r="F101" i="29"/>
  <c r="E101" i="29" s="1"/>
  <c r="F36" i="29"/>
  <c r="E36" i="29" s="1"/>
  <c r="F43" i="29"/>
  <c r="E43" i="29" s="1"/>
  <c r="F51" i="29"/>
  <c r="E51" i="29" s="1"/>
  <c r="F59" i="29"/>
  <c r="E59" i="29" s="1"/>
  <c r="F67" i="29"/>
  <c r="E67" i="29" s="1"/>
  <c r="F75" i="29"/>
  <c r="E75" i="29" s="1"/>
  <c r="F83" i="29"/>
  <c r="E83" i="29" s="1"/>
  <c r="F88" i="29"/>
  <c r="E88" i="29" s="1"/>
  <c r="F96" i="29"/>
  <c r="E96" i="29" s="1"/>
  <c r="F102" i="29"/>
  <c r="E102" i="29" s="1"/>
  <c r="F110" i="29"/>
  <c r="F118" i="29"/>
  <c r="E118" i="29" s="1"/>
  <c r="F126" i="29"/>
  <c r="E126" i="29" s="1"/>
  <c r="F13" i="29"/>
  <c r="E13" i="29" s="1"/>
  <c r="F21" i="29"/>
  <c r="E21" i="29" s="1"/>
  <c r="F29" i="29"/>
  <c r="E29" i="29" s="1"/>
  <c r="F37" i="29"/>
  <c r="E37" i="29" s="1"/>
  <c r="F69" i="29"/>
  <c r="E69" i="29" s="1"/>
  <c r="F90" i="29"/>
  <c r="E90" i="29" s="1"/>
  <c r="F104" i="29"/>
  <c r="E104" i="29" s="1"/>
  <c r="F128" i="29"/>
  <c r="E128" i="29" s="1"/>
  <c r="F23" i="29"/>
  <c r="E23" i="29" s="1"/>
  <c r="F6" i="29"/>
  <c r="E6" i="29" s="1"/>
  <c r="F46" i="29"/>
  <c r="E46" i="29" s="1"/>
  <c r="F62" i="29"/>
  <c r="E62" i="29" s="1"/>
  <c r="F78" i="29"/>
  <c r="E78" i="29" s="1"/>
  <c r="F97" i="29"/>
  <c r="E97" i="29" s="1"/>
  <c r="F121" i="29"/>
  <c r="E121" i="29" s="1"/>
  <c r="F24" i="29"/>
  <c r="E24" i="29" s="1"/>
  <c r="F32" i="29"/>
  <c r="E32" i="29" s="1"/>
  <c r="F100" i="29"/>
  <c r="E100" i="29" s="1"/>
  <c r="F124" i="29"/>
  <c r="E124" i="29" s="1"/>
  <c r="F27" i="29"/>
  <c r="E27" i="29" s="1"/>
  <c r="F35" i="29"/>
  <c r="E35" i="29" s="1"/>
  <c r="F42" i="29"/>
  <c r="E42" i="29" s="1"/>
  <c r="F74" i="29"/>
  <c r="E74" i="29" s="1"/>
  <c r="F87" i="29"/>
  <c r="E87" i="29" s="1"/>
  <c r="F109" i="29"/>
  <c r="E109" i="29" s="1"/>
  <c r="F20" i="29"/>
  <c r="E20" i="29" s="1"/>
  <c r="F44" i="29"/>
  <c r="E44" i="29" s="1"/>
  <c r="F52" i="29"/>
  <c r="E52" i="29" s="1"/>
  <c r="F60" i="29"/>
  <c r="E60" i="29" s="1"/>
  <c r="F68" i="29"/>
  <c r="E68" i="29" s="1"/>
  <c r="F76" i="29"/>
  <c r="E76" i="29" s="1"/>
  <c r="F84" i="29"/>
  <c r="E84" i="29" s="1"/>
  <c r="F89" i="29"/>
  <c r="E89" i="29" s="1"/>
  <c r="F103" i="29"/>
  <c r="E103" i="29" s="1"/>
  <c r="F111" i="29"/>
  <c r="E111" i="29" s="1"/>
  <c r="F119" i="29"/>
  <c r="E119" i="29" s="1"/>
  <c r="F127" i="29"/>
  <c r="E127" i="29" s="1"/>
  <c r="F14" i="29"/>
  <c r="E14" i="29" s="1"/>
  <c r="F22" i="29"/>
  <c r="E22" i="29" s="1"/>
  <c r="F30" i="29"/>
  <c r="E30" i="29" s="1"/>
  <c r="F38" i="29"/>
  <c r="E38" i="29" s="1"/>
  <c r="F61" i="29"/>
  <c r="E61" i="29" s="1"/>
  <c r="F112" i="29"/>
  <c r="E112" i="29" s="1"/>
  <c r="F15" i="29"/>
  <c r="E15" i="29" s="1"/>
  <c r="F31" i="29"/>
  <c r="E31" i="29" s="1"/>
  <c r="F70" i="29"/>
  <c r="E70" i="29" s="1"/>
  <c r="F105" i="29"/>
  <c r="E105" i="29" s="1"/>
  <c r="F113" i="29"/>
  <c r="E113" i="29" s="1"/>
  <c r="F16" i="29"/>
  <c r="E16" i="29" s="1"/>
  <c r="F7" i="29"/>
  <c r="E7" i="29" s="1"/>
  <c r="F108" i="29"/>
  <c r="E108" i="29" s="1"/>
  <c r="F11" i="29"/>
  <c r="E11" i="29" s="1"/>
  <c r="F50" i="29"/>
  <c r="E50" i="29" s="1"/>
  <c r="F82" i="29"/>
  <c r="E82" i="29" s="1"/>
  <c r="F95" i="29"/>
  <c r="E95" i="29" s="1"/>
  <c r="F12" i="29"/>
  <c r="E12" i="29" s="1"/>
  <c r="F28" i="29"/>
  <c r="E28" i="29" s="1"/>
  <c r="G15" i="4"/>
  <c r="M42" i="53"/>
  <c r="O42" i="53" s="1"/>
  <c r="P42" i="53" s="1"/>
  <c r="AX166" i="22"/>
  <c r="E110" i="29" l="1"/>
</calcChain>
</file>

<file path=xl/sharedStrings.xml><?xml version="1.0" encoding="utf-8"?>
<sst xmlns="http://schemas.openxmlformats.org/spreadsheetml/2006/main" count="1017" uniqueCount="241">
  <si>
    <t>Cliente</t>
  </si>
  <si>
    <t>Nº Cliente</t>
  </si>
  <si>
    <t>Nº Instalação</t>
  </si>
  <si>
    <t>Quant.</t>
  </si>
  <si>
    <t>% Desconto</t>
  </si>
  <si>
    <t>Data Fatura</t>
  </si>
  <si>
    <t>Conta</t>
  </si>
  <si>
    <t>Lucile Confecções LTDA</t>
  </si>
  <si>
    <t>CLL Hotel e Turismo</t>
  </si>
  <si>
    <t>Academia Planeta Corpo</t>
  </si>
  <si>
    <t>Dia 17</t>
  </si>
  <si>
    <t>MD Predial</t>
  </si>
  <si>
    <t>Fazenda Terra Mirante</t>
  </si>
  <si>
    <t>Irmãs Martins Andrade LTDA-ME</t>
  </si>
  <si>
    <t>Supermercado Bela Vista</t>
  </si>
  <si>
    <t>Supermercado Tia Lia</t>
  </si>
  <si>
    <t>A M Lage</t>
  </si>
  <si>
    <t>Contabilidade Rocha</t>
  </si>
  <si>
    <t>Hotel Itabira</t>
  </si>
  <si>
    <t>Sindicato Metabase Itabira</t>
  </si>
  <si>
    <t>Orbis Energia</t>
  </si>
  <si>
    <t>Panificadora Central</t>
  </si>
  <si>
    <t>WB JS Comunicação</t>
  </si>
  <si>
    <t>L e R Comercial</t>
  </si>
  <si>
    <t>Dominante Comercio de Calçados</t>
  </si>
  <si>
    <t>ART Pão de Itabira</t>
  </si>
  <si>
    <t>Hortifruti QueBom</t>
  </si>
  <si>
    <t>Maria do Carmo Oliveira Olimpio</t>
  </si>
  <si>
    <t>Jordana de Castro Comercio</t>
  </si>
  <si>
    <t>TOTAL</t>
  </si>
  <si>
    <t>Dr Redes (Consórcio)</t>
  </si>
  <si>
    <t>Sanati (Consórcio)</t>
  </si>
  <si>
    <t>Renato (Orbis)</t>
  </si>
  <si>
    <t>Somatis_Clinica Fisioterapia</t>
  </si>
  <si>
    <t>Lanza Magalhães_Dr. Pet</t>
  </si>
  <si>
    <t>Celso Matozinho_Serra 1 (Consórcio)</t>
  </si>
  <si>
    <t>Somente receberá os créditos no próximo mês</t>
  </si>
  <si>
    <t>Celso Matozinho_Serra 2 (Consórcio)</t>
  </si>
  <si>
    <t>Celso Matozinho_BH (Consórcio)</t>
  </si>
  <si>
    <t>Celso Matozinho_Itabira (Consórcio)</t>
  </si>
  <si>
    <t>Agatha Rodrigues</t>
  </si>
  <si>
    <t>Faturado</t>
  </si>
  <si>
    <t>Enviado</t>
  </si>
  <si>
    <t>ok</t>
  </si>
  <si>
    <t>6.10</t>
  </si>
  <si>
    <t>n/a</t>
  </si>
  <si>
    <t>Cervejaria Portal da Canastra Ltda</t>
  </si>
  <si>
    <t>3 meses</t>
  </si>
  <si>
    <t>Faculdade Maximum LTDA</t>
  </si>
  <si>
    <t>6 meses</t>
  </si>
  <si>
    <t>Otávio Reis Oliveira Pereira</t>
  </si>
  <si>
    <t>MBLB Acabamentos Ltda</t>
  </si>
  <si>
    <t>36 meses</t>
  </si>
  <si>
    <t>Padaria Bouzada III LTDA</t>
  </si>
  <si>
    <t>5 meses</t>
  </si>
  <si>
    <t>Marcelo Mendes</t>
  </si>
  <si>
    <t>?</t>
  </si>
  <si>
    <t>Carlos Roberto</t>
  </si>
  <si>
    <t>Simonica Rodrigues</t>
  </si>
  <si>
    <t>60 meses</t>
  </si>
  <si>
    <t>Fabrica Gelo Norma</t>
  </si>
  <si>
    <t>Ortecon Acessoria LTDA</t>
  </si>
  <si>
    <t>Custo da Tarifa PASEP</t>
  </si>
  <si>
    <t>Custo da Tarifa COFINS</t>
  </si>
  <si>
    <t>Custo da Tarifa c/ ICMS 18%</t>
  </si>
  <si>
    <t>Custo da Tarifa injetado s/ Pasep / Cofins</t>
  </si>
  <si>
    <t>Custo de Disponibilidade</t>
  </si>
  <si>
    <t>Custo da Tarifa (sem imposto)</t>
  </si>
  <si>
    <t>Zilda Soares da Costa Ltda</t>
  </si>
  <si>
    <t>Mês</t>
  </si>
  <si>
    <t>Produção Estimada</t>
  </si>
  <si>
    <t>Produção Efetiva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</si>
  <si>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</si>
  <si>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</si>
  <si>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</si>
  <si>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</si>
  <si>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</si>
  <si>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</si>
  <si>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</si>
  <si>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</si>
  <si>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</si>
  <si>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</si>
  <si>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</si>
  <si>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</si>
  <si>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Usina</t>
  </si>
  <si>
    <t>Alexandre - CGH</t>
  </si>
  <si>
    <t>Funcesi</t>
  </si>
  <si>
    <t>Alttos</t>
  </si>
  <si>
    <t>Albuquerque</t>
  </si>
  <si>
    <t>Fenix - BL1</t>
  </si>
  <si>
    <t>Fenix - BL3</t>
  </si>
  <si>
    <t>Fenix - BL7</t>
  </si>
  <si>
    <t>UC 3013497957</t>
  </si>
  <si>
    <t>UC 3013483817</t>
  </si>
  <si>
    <t>UC 3009018668</t>
  </si>
  <si>
    <t>UC 3007768063</t>
  </si>
  <si>
    <t>UC 3014922778</t>
  </si>
  <si>
    <t>UC 3013771324</t>
  </si>
  <si>
    <t>UC 3013939291</t>
  </si>
  <si>
    <t>UC 3013939295</t>
  </si>
  <si>
    <t>Consumo Médio</t>
  </si>
  <si>
    <t>% Atendido</t>
  </si>
  <si>
    <t>Energia Injetada</t>
  </si>
  <si>
    <t>Saldo GD</t>
  </si>
  <si>
    <t>% Saldo</t>
  </si>
  <si>
    <t>UC</t>
  </si>
  <si>
    <t>Média Trimestral</t>
  </si>
  <si>
    <t>Competência</t>
  </si>
  <si>
    <t>Vencimento</t>
  </si>
  <si>
    <t>Faturar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</si>
  <si>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</si>
  <si>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</si>
  <si>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</si>
  <si>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</si>
  <si>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</si>
  <si>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</si>
  <si>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</si>
  <si>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</si>
  <si>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</si>
  <si>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</si>
  <si>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</si>
  <si>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</si>
  <si>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Usina - Fazenda Vale do Sol</t>
  </si>
  <si>
    <t>Padaria Bouzada I LTDA</t>
  </si>
  <si>
    <t xml:space="preserve"> Israel Bernardo de Assis Silva</t>
  </si>
  <si>
    <t>Recuperadora de Veículos UDIA</t>
  </si>
  <si>
    <t>Laticínios Moedense</t>
  </si>
  <si>
    <t>Bernardo Bousada Rodrigues (INATIVO)</t>
  </si>
  <si>
    <t>Diogo Pitol Cangussu</t>
  </si>
  <si>
    <t>Yago Vidal Martins da Costa</t>
  </si>
  <si>
    <t>Euripedes Duarte da Costa</t>
  </si>
  <si>
    <t>AD Soluções Educacionais LTDA</t>
  </si>
  <si>
    <t>Fernanda Gil de Oliveira Andrade</t>
  </si>
  <si>
    <t>Jesimiel de Oliveira Neves</t>
  </si>
  <si>
    <t>Alexandre Rodrigues Sirimarco</t>
  </si>
  <si>
    <t>Off Limits Ind Componentes Automotivos</t>
  </si>
  <si>
    <t>AC Baruk Esfiharia Ltda</t>
  </si>
  <si>
    <t>Sonia Maria Favaro Lopes</t>
  </si>
  <si>
    <t>Ulisse Eduardo Barros</t>
  </si>
  <si>
    <t>Ivan Madeiras Ltda</t>
  </si>
  <si>
    <t>Waldermar Pereira Costa</t>
  </si>
  <si>
    <t>Rita Eugênia Arthuso Melo Pacheco</t>
  </si>
  <si>
    <t>Ruth Maria Arthuso Melo</t>
  </si>
  <si>
    <t>Reginaldo Guedes</t>
  </si>
  <si>
    <t>Sidney (Aplik) - Casa</t>
  </si>
  <si>
    <t>Sidney (Aplik) - Rocinha</t>
  </si>
  <si>
    <t>Sidney (Aplik) - Imobiliária</t>
  </si>
  <si>
    <t>Marcio Gomes Pacheco</t>
  </si>
  <si>
    <t>Luís Carlos Pereira</t>
  </si>
  <si>
    <t>Andre Lanna de Lima e Silva</t>
  </si>
  <si>
    <t>C. F. Pereira da Silva Serviços</t>
  </si>
  <si>
    <t>Alexander Fernandes Gonçalves</t>
  </si>
  <si>
    <t>Leonardo Jacques Gonçalves Calazans</t>
  </si>
  <si>
    <t>Condomínio Edifício Atlanta Residence</t>
  </si>
  <si>
    <t>A. F. Sampaio</t>
  </si>
  <si>
    <t>Alex Ferreira Sampaio</t>
  </si>
  <si>
    <t>Fio D Ouro Tricot &amp; CIA Ltda</t>
  </si>
  <si>
    <t>Andrezza Lorrayne Souza Vaz</t>
  </si>
  <si>
    <t>Roberto Dias Monteiro</t>
  </si>
  <si>
    <t>Ademar de Vasconcelos Pires</t>
  </si>
  <si>
    <t>Comercial Pinho e Vasconcelos</t>
  </si>
  <si>
    <t>Thamara Luciana Carvalho Duarte</t>
  </si>
  <si>
    <t>Eliane Martins Moura</t>
  </si>
  <si>
    <t>Ronaldo Lott Pires</t>
  </si>
  <si>
    <t>Ednalva Freitas Santos</t>
  </si>
  <si>
    <t>Rafael Martins de Faria</t>
  </si>
  <si>
    <t>Adega Ouro Preto LTDA</t>
  </si>
  <si>
    <t>Margarida Rocha Vianna de Oliveira (Adega)</t>
  </si>
  <si>
    <t>Silvio Luiz Rocha Viana de Oliveira (Adega)</t>
  </si>
  <si>
    <t>Guilherme Pereira Batista</t>
  </si>
  <si>
    <t>março</t>
  </si>
  <si>
    <t>Rozangela Carmelia da Conceição</t>
  </si>
  <si>
    <t>Maria Aparecida Santos Barbosa</t>
  </si>
  <si>
    <t>Barcelos Confecções</t>
  </si>
  <si>
    <t>Cargus Itabira</t>
  </si>
  <si>
    <t>Guanhães Moto Peças LTDA</t>
  </si>
  <si>
    <t>Sérgio do Amaral</t>
  </si>
  <si>
    <t>Via Capital Gestão de Ativos S.A</t>
  </si>
  <si>
    <t>Tatiana Erica Carlos</t>
  </si>
  <si>
    <t>João Fideles Carlos</t>
  </si>
  <si>
    <t>José Enisio Carlos</t>
  </si>
  <si>
    <t>Adenilson José de Souza</t>
  </si>
  <si>
    <t>Carlucio Altino Mendes Silva</t>
  </si>
  <si>
    <t>Magali Batista Fontanela Andrade</t>
  </si>
  <si>
    <t>Usileste Usinagem &amp; Caldeiraria Ltda</t>
  </si>
  <si>
    <t>Senescer Morada LTDA</t>
  </si>
  <si>
    <t>José Antônio da Fonseca</t>
  </si>
  <si>
    <t>Gilda de Castro Souza</t>
  </si>
  <si>
    <t>Karina Ferreira Marques</t>
  </si>
  <si>
    <t>Vitor Gandra Rocha</t>
  </si>
  <si>
    <t>Rosa Ligh</t>
  </si>
  <si>
    <t>Panificadora Rodrigues e Martins LTDA</t>
  </si>
  <si>
    <t>Jose Dilson Cardoso</t>
  </si>
  <si>
    <t>Aksis Empreendimentos e Particip LTDA</t>
  </si>
  <si>
    <t>Fabiano Augusto Neiva Dutra</t>
  </si>
  <si>
    <t>Morais G T A OS Odontologia</t>
  </si>
  <si>
    <t>Mara Lúcia de Paiva</t>
  </si>
  <si>
    <t xml:space="preserve">Eliana Rocha de Paula </t>
  </si>
  <si>
    <t>FCC Comércio</t>
  </si>
  <si>
    <t>Minas Mais Laticinios</t>
  </si>
  <si>
    <t>Marcia Aparecida Bragato</t>
  </si>
  <si>
    <t>Wilson dos Santos Gouveia</t>
  </si>
  <si>
    <t>Village Comercial LTDA (INATIVO)</t>
  </si>
  <si>
    <t>Thermon Indústria Mecânica Ltda</t>
  </si>
  <si>
    <t>Roberta Castro Lage</t>
  </si>
  <si>
    <t>Whashington Luiz Marques Rodrigues</t>
  </si>
  <si>
    <t>Wilton da Silva Pereira</t>
  </si>
  <si>
    <t xml:space="preserve"> Juliane Aparecida Melo Felisberto</t>
  </si>
  <si>
    <t>Usina Ambiental Ltda</t>
  </si>
  <si>
    <t>Wanderson Pires do Amaral (INATIVO)</t>
  </si>
  <si>
    <t>Andre Luiz Cota</t>
  </si>
  <si>
    <t>USI Vale Ind.Mecanica LTDA</t>
  </si>
  <si>
    <t xml:space="preserve"> Edificio Medical Center</t>
  </si>
  <si>
    <t>DL Comercio e Serviços</t>
  </si>
  <si>
    <t>Alvimar Pereira Matos</t>
  </si>
  <si>
    <t>Edifício Residencial Florenca</t>
  </si>
  <si>
    <t>Fernando Caus da Silva</t>
  </si>
  <si>
    <t>Valcilene Fernandes Gomes de Oliveira</t>
  </si>
  <si>
    <t>Philipe Silva Reis Pereira</t>
  </si>
  <si>
    <t>Reis &amp; Moraes Sociedade de Advogados</t>
  </si>
  <si>
    <t xml:space="preserve"> Rafael Moraes Pereira</t>
  </si>
  <si>
    <t>Francisco Bernardes Texeira</t>
  </si>
  <si>
    <t>Glaucia Silva Oda</t>
  </si>
  <si>
    <t>Breno Denubila Almeida</t>
  </si>
  <si>
    <t>Pão Ideal_Nova</t>
  </si>
  <si>
    <t>Pão Ideal_Pará</t>
  </si>
  <si>
    <t>Total Mensal</t>
  </si>
  <si>
    <t>Usina - Alexandre - CGH</t>
  </si>
  <si>
    <t>Usina Alttos</t>
  </si>
  <si>
    <t>Usina Albuquerque</t>
  </si>
  <si>
    <t>Usina Fenix - BL 1</t>
  </si>
  <si>
    <t>Usina Fenix - BL 3</t>
  </si>
  <si>
    <t>Usina Fenix - BL 7</t>
  </si>
  <si>
    <t>Consumo Médio Ponderado</t>
  </si>
  <si>
    <t>FVS</t>
  </si>
  <si>
    <t xml:space="preserve">CGH do Padre </t>
  </si>
  <si>
    <t xml:space="preserve">Alttos </t>
  </si>
  <si>
    <t xml:space="preserve">Albuquerque </t>
  </si>
  <si>
    <t xml:space="preserve">Fênix BL 1 </t>
  </si>
  <si>
    <t>Fênix BL 3</t>
  </si>
  <si>
    <t>Fênix BL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</si>
</sst>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_ ;\-#,##0\ "/>
    <numFmt numFmtId="165" formatCode="0.00000000"/>
    <numFmt numFmtId="166" formatCode="0.000"/>
  </numFmts>
  <fonts count="16" x14ac:knownFonts="1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  <charset val="1"/>
    </font>
    <font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  <charset val="1"/>
    </font>
    <font>
      <b/>
      <sz val="1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Arial"/>
      <family val="2"/>
      <charset val="1"/>
    </font>
    <font>
      <sz val="10"/>
      <color rgb="FFFF0000"/>
      <name val="Arial"/>
      <family val="2"/>
      <charset val="1"/>
    </font>
    <font>
      <b/>
      <sz val="10"/>
      <color rgb="FFFF0000"/>
      <name val="Arial"/>
      <family val="2"/>
    </font>
    <font>
      <sz val="10"/>
      <color theme="1"/>
      <name val="Arial"/>
      <family val="2"/>
      <charset val="1"/>
    </font>
    <font>
      <sz val="8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DDDDD"/>
        <bgColor rgb="FFFFCCCC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2" fillId="2" borderId="0" applyBorder="0" applyProtection="0"/>
    <xf numFmtId="44" fontId="6" fillId="0" borderId="0" applyFont="0" applyFill="0" applyBorder="0" applyAlignment="0" applyProtection="0"/>
    <xf numFmtId="0" fontId="8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</cellStyleXfs>
  <cellXfs count="14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44" fontId="0" fillId="0" borderId="7" xfId="2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44" fontId="0" fillId="0" borderId="7" xfId="2" applyFont="1" applyFill="1" applyBorder="1" applyAlignment="1">
      <alignment horizontal="center" vertical="center"/>
    </xf>
    <xf numFmtId="0" fontId="0" fillId="0" borderId="1" xfId="0" applyBorder="1"/>
    <xf numFmtId="0" fontId="8" fillId="0" borderId="0" xfId="3"/>
    <xf numFmtId="4" fontId="0" fillId="0" borderId="0" xfId="0" applyNumberFormat="1"/>
    <xf numFmtId="0" fontId="7" fillId="4" borderId="2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/>
    </xf>
    <xf numFmtId="3" fontId="7" fillId="4" borderId="12" xfId="0" applyNumberFormat="1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44" fontId="7" fillId="4" borderId="14" xfId="2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3" fontId="8" fillId="0" borderId="0" xfId="3" applyNumberFormat="1"/>
    <xf numFmtId="0" fontId="8" fillId="6" borderId="1" xfId="3" applyFill="1" applyBorder="1" applyAlignment="1">
      <alignment horizontal="center" vertical="center"/>
    </xf>
    <xf numFmtId="17" fontId="8" fillId="6" borderId="1" xfId="3" applyNumberFormat="1" applyFill="1" applyBorder="1" applyAlignment="1">
      <alignment horizontal="center" vertical="center"/>
    </xf>
    <xf numFmtId="3" fontId="8" fillId="0" borderId="1" xfId="3" applyNumberFormat="1" applyBorder="1" applyAlignment="1">
      <alignment horizontal="center" vertical="center"/>
    </xf>
    <xf numFmtId="0" fontId="8" fillId="0" borderId="1" xfId="3" applyBorder="1" applyAlignment="1">
      <alignment horizontal="center" vertical="center"/>
    </xf>
    <xf numFmtId="3" fontId="9" fillId="7" borderId="1" xfId="3" applyNumberFormat="1" applyFont="1" applyFill="1" applyBorder="1" applyAlignment="1">
      <alignment horizontal="center" vertical="center"/>
    </xf>
    <xf numFmtId="0" fontId="9" fillId="6" borderId="15" xfId="3" applyFont="1" applyFill="1" applyBorder="1"/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3" fontId="0" fillId="9" borderId="1" xfId="0" applyNumberFormat="1" applyFill="1" applyBorder="1" applyAlignment="1">
      <alignment horizontal="center" vertical="center"/>
    </xf>
    <xf numFmtId="9" fontId="0" fillId="9" borderId="1" xfId="4" applyFont="1" applyFill="1" applyBorder="1" applyAlignment="1">
      <alignment horizontal="center" vertical="center"/>
    </xf>
    <xf numFmtId="10" fontId="0" fillId="0" borderId="6" xfId="4" applyNumberFormat="1" applyFont="1" applyBorder="1" applyAlignment="1">
      <alignment horizontal="center" vertical="center"/>
    </xf>
    <xf numFmtId="10" fontId="0" fillId="0" borderId="6" xfId="4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5" fillId="9" borderId="2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/>
    </xf>
    <xf numFmtId="10" fontId="7" fillId="4" borderId="8" xfId="4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8" fillId="0" borderId="15" xfId="3" applyNumberFormat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3" fontId="0" fillId="11" borderId="1" xfId="0" applyNumberFormat="1" applyFill="1" applyBorder="1" applyAlignment="1">
      <alignment horizontal="center" vertical="center"/>
    </xf>
    <xf numFmtId="9" fontId="0" fillId="11" borderId="1" xfId="4" applyFont="1" applyFill="1" applyBorder="1" applyAlignment="1">
      <alignment horizontal="center" vertical="center"/>
    </xf>
    <xf numFmtId="44" fontId="0" fillId="11" borderId="7" xfId="2" applyFont="1" applyFill="1" applyBorder="1" applyAlignment="1">
      <alignment horizontal="center" vertical="center"/>
    </xf>
    <xf numFmtId="1" fontId="0" fillId="0" borderId="7" xfId="2" applyNumberFormat="1" applyFont="1" applyBorder="1" applyAlignment="1">
      <alignment horizontal="center" vertical="center"/>
    </xf>
    <xf numFmtId="1" fontId="0" fillId="11" borderId="7" xfId="2" applyNumberFormat="1" applyFont="1" applyFill="1" applyBorder="1" applyAlignment="1">
      <alignment horizontal="center" vertical="center"/>
    </xf>
    <xf numFmtId="1" fontId="0" fillId="0" borderId="7" xfId="2" applyNumberFormat="1" applyFont="1" applyFill="1" applyBorder="1" applyAlignment="1">
      <alignment horizontal="center" vertical="center"/>
    </xf>
    <xf numFmtId="9" fontId="12" fillId="0" borderId="1" xfId="4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4" fontId="0" fillId="0" borderId="7" xfId="2" applyFont="1" applyBorder="1" applyAlignment="1">
      <alignment horizontal="left" vertical="center"/>
    </xf>
    <xf numFmtId="44" fontId="0" fillId="11" borderId="7" xfId="2" applyFont="1" applyFill="1" applyBorder="1" applyAlignment="1">
      <alignment horizontal="left" vertical="center"/>
    </xf>
    <xf numFmtId="44" fontId="0" fillId="0" borderId="7" xfId="2" applyFont="1" applyFill="1" applyBorder="1" applyAlignment="1">
      <alignment horizontal="left" vertical="center"/>
    </xf>
    <xf numFmtId="0" fontId="11" fillId="0" borderId="0" xfId="0" applyFont="1"/>
    <xf numFmtId="9" fontId="0" fillId="0" borderId="1" xfId="4" applyFont="1" applyFill="1" applyBorder="1" applyAlignment="1">
      <alignment horizontal="center" vertical="center"/>
    </xf>
    <xf numFmtId="9" fontId="12" fillId="0" borderId="1" xfId="4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3" fontId="0" fillId="12" borderId="1" xfId="0" applyNumberFormat="1" applyFill="1" applyBorder="1" applyAlignment="1">
      <alignment horizontal="center" vertical="center"/>
    </xf>
    <xf numFmtId="9" fontId="0" fillId="12" borderId="1" xfId="4" applyFont="1" applyFill="1" applyBorder="1" applyAlignment="1">
      <alignment horizontal="center" vertical="center"/>
    </xf>
    <xf numFmtId="44" fontId="0" fillId="12" borderId="7" xfId="2" applyFont="1" applyFill="1" applyBorder="1" applyAlignment="1">
      <alignment horizontal="left" vertical="center"/>
    </xf>
    <xf numFmtId="1" fontId="0" fillId="12" borderId="7" xfId="2" applyNumberFormat="1" applyFont="1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3" fontId="9" fillId="13" borderId="15" xfId="3" applyNumberFormat="1" applyFont="1" applyFill="1" applyBorder="1" applyAlignment="1">
      <alignment horizontal="center" vertical="center"/>
    </xf>
    <xf numFmtId="3" fontId="9" fillId="14" borderId="1" xfId="3" applyNumberFormat="1" applyFont="1" applyFill="1" applyBorder="1" applyAlignment="1">
      <alignment horizontal="center" vertical="center"/>
    </xf>
    <xf numFmtId="3" fontId="9" fillId="15" borderId="15" xfId="3" applyNumberFormat="1" applyFont="1" applyFill="1" applyBorder="1" applyAlignment="1">
      <alignment horizontal="center" vertical="center"/>
    </xf>
    <xf numFmtId="164" fontId="8" fillId="0" borderId="0" xfId="3" applyNumberFormat="1" applyAlignment="1">
      <alignment horizontal="center" vertical="center"/>
    </xf>
    <xf numFmtId="0" fontId="5" fillId="16" borderId="17" xfId="0" applyFont="1" applyFill="1" applyBorder="1" applyAlignment="1">
      <alignment horizontal="center" vertical="center" wrapText="1"/>
    </xf>
    <xf numFmtId="3" fontId="0" fillId="16" borderId="18" xfId="0" applyNumberFormat="1" applyFill="1" applyBorder="1" applyAlignment="1">
      <alignment horizontal="center" vertical="center"/>
    </xf>
    <xf numFmtId="3" fontId="9" fillId="6" borderId="15" xfId="3" applyNumberFormat="1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44" fontId="7" fillId="4" borderId="19" xfId="2" applyFont="1" applyFill="1" applyBorder="1" applyAlignment="1">
      <alignment horizontal="center" vertical="center"/>
    </xf>
    <xf numFmtId="0" fontId="0" fillId="0" borderId="15" xfId="0" applyBorder="1"/>
    <xf numFmtId="1" fontId="0" fillId="0" borderId="1" xfId="2" applyNumberFormat="1" applyFont="1" applyBorder="1" applyAlignment="1">
      <alignment horizontal="center" vertical="center"/>
    </xf>
    <xf numFmtId="1" fontId="0" fillId="0" borderId="1" xfId="5" applyNumberFormat="1" applyFont="1" applyBorder="1" applyAlignment="1">
      <alignment horizontal="center" vertical="center"/>
    </xf>
    <xf numFmtId="44" fontId="0" fillId="12" borderId="1" xfId="2" applyFont="1" applyFill="1" applyBorder="1" applyAlignment="1">
      <alignment horizontal="left" vertical="center"/>
    </xf>
    <xf numFmtId="1" fontId="0" fillId="12" borderId="1" xfId="2" applyNumberFormat="1" applyFont="1" applyFill="1" applyBorder="1" applyAlignment="1">
      <alignment horizontal="center" vertical="center"/>
    </xf>
    <xf numFmtId="1" fontId="0" fillId="0" borderId="1" xfId="5" applyNumberFormat="1" applyFont="1" applyFill="1" applyBorder="1" applyAlignment="1">
      <alignment horizontal="center" vertical="center"/>
    </xf>
    <xf numFmtId="1" fontId="0" fillId="0" borderId="1" xfId="2" applyNumberFormat="1" applyFont="1" applyFill="1" applyBorder="1" applyAlignment="1">
      <alignment horizontal="center" vertical="center"/>
    </xf>
    <xf numFmtId="0" fontId="11" fillId="0" borderId="1" xfId="0" applyFont="1" applyBorder="1"/>
    <xf numFmtId="10" fontId="0" fillId="0" borderId="1" xfId="4" applyNumberFormat="1" applyFont="1" applyBorder="1" applyAlignment="1">
      <alignment horizontal="center" vertical="center"/>
    </xf>
    <xf numFmtId="10" fontId="0" fillId="0" borderId="9" xfId="4" applyNumberFormat="1" applyFont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0" borderId="1" xfId="5" applyNumberFormat="1" applyFont="1" applyBorder="1" applyAlignment="1">
      <alignment horizontal="center" vertical="center"/>
    </xf>
    <xf numFmtId="0" fontId="0" fillId="0" borderId="1" xfId="5" applyNumberFormat="1" applyFont="1" applyFill="1" applyBorder="1" applyAlignment="1">
      <alignment horizontal="center" vertical="center"/>
    </xf>
    <xf numFmtId="16" fontId="0" fillId="0" borderId="1" xfId="5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44" fontId="7" fillId="0" borderId="0" xfId="2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 vertical="center"/>
    </xf>
    <xf numFmtId="3" fontId="0" fillId="0" borderId="21" xfId="0" applyNumberFormat="1" applyBorder="1" applyAlignment="1">
      <alignment horizontal="center" vertical="center"/>
    </xf>
    <xf numFmtId="9" fontId="12" fillId="0" borderId="21" xfId="4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3" fontId="7" fillId="4" borderId="23" xfId="0" applyNumberFormat="1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44" fontId="7" fillId="4" borderId="25" xfId="2" applyFont="1" applyFill="1" applyBorder="1" applyAlignment="1">
      <alignment horizontal="center" vertical="center"/>
    </xf>
    <xf numFmtId="0" fontId="14" fillId="0" borderId="0" xfId="0" applyFont="1" applyAlignment="1">
      <alignment wrapText="1"/>
    </xf>
    <xf numFmtId="0" fontId="14" fillId="0" borderId="26" xfId="0" applyFont="1" applyBorder="1" applyAlignment="1">
      <alignment horizontal="left" vertical="center" wrapText="1"/>
    </xf>
    <xf numFmtId="10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left" wrapText="1"/>
    </xf>
    <xf numFmtId="0" fontId="14" fillId="0" borderId="0" xfId="0" applyFont="1"/>
    <xf numFmtId="3" fontId="14" fillId="0" borderId="0" xfId="0" applyNumberFormat="1" applyFont="1"/>
    <xf numFmtId="16" fontId="0" fillId="0" borderId="1" xfId="0" applyNumberFormat="1" applyBorder="1"/>
    <xf numFmtId="166" fontId="14" fillId="0" borderId="0" xfId="0" applyNumberFormat="1" applyFont="1"/>
    <xf numFmtId="2" fontId="14" fillId="0" borderId="0" xfId="0" applyNumberFormat="1" applyFont="1"/>
    <xf numFmtId="0" fontId="0" fillId="8" borderId="15" xfId="0" applyFill="1" applyBorder="1" applyAlignment="1">
      <alignment horizontal="center" vertical="center"/>
    </xf>
    <xf numFmtId="10" fontId="0" fillId="0" borderId="27" xfId="4" applyNumberFormat="1" applyFont="1" applyBorder="1" applyAlignment="1">
      <alignment horizontal="center" vertical="center"/>
    </xf>
    <xf numFmtId="10" fontId="6" fillId="0" borderId="1" xfId="4" applyNumberFormat="1" applyFont="1" applyBorder="1" applyAlignment="1">
      <alignment horizontal="center" vertical="center"/>
    </xf>
    <xf numFmtId="10" fontId="0" fillId="0" borderId="0" xfId="0" applyNumberFormat="1"/>
    <xf numFmtId="3" fontId="0" fillId="16" borderId="17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8" fillId="0" borderId="0" xfId="3" applyNumberFormat="1" applyAlignment="1">
      <alignment horizontal="center" vertical="center"/>
    </xf>
    <xf numFmtId="0" fontId="8" fillId="0" borderId="0" xfId="3" applyAlignment="1">
      <alignment horizontal="center"/>
    </xf>
    <xf numFmtId="16" fontId="8" fillId="0" borderId="0" xfId="3" applyNumberFormat="1" applyAlignment="1">
      <alignment horizontal="center"/>
    </xf>
    <xf numFmtId="0" fontId="9" fillId="0" borderId="0" xfId="3" applyFont="1" applyAlignment="1">
      <alignment horizontal="center"/>
    </xf>
    <xf numFmtId="3" fontId="8" fillId="0" borderId="0" xfId="3" applyNumberFormat="1" applyAlignment="1">
      <alignment horizontal="center"/>
    </xf>
    <xf numFmtId="9" fontId="8" fillId="0" borderId="0" xfId="4" applyFont="1" applyAlignment="1">
      <alignment horizontal="center"/>
    </xf>
    <xf numFmtId="0" fontId="9" fillId="0" borderId="1" xfId="3" applyFont="1" applyBorder="1" applyAlignment="1">
      <alignment horizontal="center" vertical="center"/>
    </xf>
    <xf numFmtId="0" fontId="15" fillId="0" borderId="0" xfId="6" applyFont="1" applyAlignment="1">
      <alignment horizontal="center" vertical="center" wrapText="1"/>
    </xf>
    <xf numFmtId="0" fontId="1" fillId="0" borderId="0" xfId="6"/>
    <xf numFmtId="0" fontId="1" fillId="0" borderId="0" xfId="6" applyAlignment="1">
      <alignment horizontal="center" vertical="center"/>
    </xf>
    <xf numFmtId="10" fontId="1" fillId="0" borderId="0" xfId="6" applyNumberFormat="1" applyAlignment="1">
      <alignment horizontal="center" vertical="center"/>
    </xf>
    <xf numFmtId="9" fontId="1" fillId="0" borderId="0" xfId="6" applyNumberFormat="1" applyAlignment="1">
      <alignment horizontal="center" vertical="center"/>
    </xf>
    <xf numFmtId="17" fontId="4" fillId="4" borderId="4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165" fontId="14" fillId="0" borderId="0" xfId="0" applyNumberFormat="1" applyFont="1" applyAlignment="1">
      <alignment horizontal="center"/>
    </xf>
    <xf numFmtId="0" fontId="4" fillId="3" borderId="10" xfId="0" applyFont="1" applyFill="1" applyBorder="1" applyAlignment="1">
      <alignment horizontal="center"/>
    </xf>
  </cellXfs>
  <cellStyles count="7">
    <cellStyle name="Moeda" xfId="2" builtinId="4"/>
    <cellStyle name="Normal" xfId="0" builtinId="0"/>
    <cellStyle name="Normal 2" xfId="3" xr:uid="{A87066D6-FBA7-4E65-AECE-7734E9848C58}"/>
    <cellStyle name="Normal 3" xfId="6" xr:uid="{8405B7E6-938B-46F5-BE48-619DA98B95CC}"/>
    <cellStyle name="Porcentagem" xfId="4" builtinId="5"/>
    <cellStyle name="Texto Explicativo" xfId="1" builtinId="53" customBuiltin="1"/>
    <cellStyle name="Vírgula" xfId="5" builtinId="3"/>
  </cellStyles>
  <dxfs count="3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7FFF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3A84-478D-4F05-A9F5-34B40CBFD62E}">
  <dimension ref="A1:K36"/>
  <sheetViews>
    <sheetView workbookViewId="0">
      <selection activeCell="F19" sqref="F19"/>
    </sheetView>
  </sheetViews>
  <sheetFormatPr defaultRowHeight="12.75" x14ac:dyDescent="0.2"/>
  <cols>
    <col min="1" max="1" width="28.85546875" bestFit="1" customWidth="1"/>
    <col min="2" max="2" width="11.140625" bestFit="1" customWidth="1"/>
    <col min="3" max="3" width="14.140625" bestFit="1" customWidth="1"/>
    <col min="4" max="4" width="10.140625" bestFit="1" customWidth="1"/>
    <col min="5" max="6" width="13.28515625" bestFit="1" customWidth="1"/>
    <col min="7" max="7" width="12.5703125" bestFit="1" customWidth="1"/>
  </cols>
  <sheetData>
    <row r="1" spans="1:11" ht="16.5" thickTop="1" x14ac:dyDescent="0.25">
      <c r="A1" s="24"/>
      <c r="B1" s="25"/>
      <c r="C1" s="25"/>
      <c r="D1" s="139">
        <v>44562</v>
      </c>
      <c r="E1" s="140"/>
      <c r="F1" s="141"/>
    </row>
    <row r="2" spans="1:11" ht="15" x14ac:dyDescent="0.2">
      <c r="A2" s="4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5" t="s">
        <v>5</v>
      </c>
      <c r="G2" s="5" t="s">
        <v>6</v>
      </c>
    </row>
    <row r="3" spans="1:11" x14ac:dyDescent="0.2">
      <c r="A3" s="44" t="s">
        <v>7</v>
      </c>
      <c r="B3" s="44">
        <v>7005713839</v>
      </c>
      <c r="C3" s="44">
        <v>3003858507</v>
      </c>
      <c r="D3" s="46">
        <v>777</v>
      </c>
      <c r="E3" s="51">
        <v>0.1</v>
      </c>
      <c r="F3" s="6"/>
      <c r="G3" s="56">
        <v>2</v>
      </c>
    </row>
    <row r="4" spans="1:11" x14ac:dyDescent="0.2">
      <c r="A4" s="44" t="s">
        <v>8</v>
      </c>
      <c r="B4" s="44">
        <v>7008528502</v>
      </c>
      <c r="C4" s="44">
        <v>3001084033</v>
      </c>
      <c r="D4" s="46">
        <v>4106</v>
      </c>
      <c r="E4" s="51">
        <v>0.1</v>
      </c>
      <c r="F4" s="6"/>
      <c r="G4" s="56">
        <v>1</v>
      </c>
    </row>
    <row r="5" spans="1:11" x14ac:dyDescent="0.2">
      <c r="A5" s="44" t="s">
        <v>9</v>
      </c>
      <c r="B5" s="44">
        <v>7200634170</v>
      </c>
      <c r="C5" s="44">
        <v>3012153634</v>
      </c>
      <c r="D5" s="46">
        <v>1780</v>
      </c>
      <c r="E5" s="51">
        <v>0.1</v>
      </c>
      <c r="F5" s="6" t="s">
        <v>10</v>
      </c>
      <c r="G5" s="56">
        <v>2</v>
      </c>
    </row>
    <row r="6" spans="1:11" x14ac:dyDescent="0.2">
      <c r="A6" s="44" t="s">
        <v>9</v>
      </c>
      <c r="B6" s="44">
        <v>7005369021</v>
      </c>
      <c r="C6" s="44">
        <v>3011373971</v>
      </c>
      <c r="D6" s="46">
        <v>339</v>
      </c>
      <c r="E6" s="51">
        <v>0.1</v>
      </c>
      <c r="F6" s="6" t="s">
        <v>10</v>
      </c>
      <c r="G6" s="56">
        <v>2</v>
      </c>
    </row>
    <row r="7" spans="1:11" x14ac:dyDescent="0.2">
      <c r="A7" s="44" t="s">
        <v>11</v>
      </c>
      <c r="B7" s="44">
        <v>7005492088</v>
      </c>
      <c r="C7" s="44">
        <v>3001449459</v>
      </c>
      <c r="D7" s="46">
        <v>620</v>
      </c>
      <c r="E7" s="51">
        <v>0.1</v>
      </c>
      <c r="F7" s="6"/>
      <c r="G7" s="56">
        <v>2</v>
      </c>
    </row>
    <row r="8" spans="1:11" x14ac:dyDescent="0.2">
      <c r="A8" s="44" t="s">
        <v>11</v>
      </c>
      <c r="B8" s="44">
        <v>7005492088</v>
      </c>
      <c r="C8" s="44">
        <v>3011504476</v>
      </c>
      <c r="D8" s="46">
        <v>688</v>
      </c>
      <c r="E8" s="51">
        <v>0.1</v>
      </c>
      <c r="F8" s="6"/>
      <c r="G8" s="56">
        <v>2</v>
      </c>
    </row>
    <row r="9" spans="1:11" x14ac:dyDescent="0.2">
      <c r="A9" s="44" t="s">
        <v>11</v>
      </c>
      <c r="B9" s="44">
        <v>7005492088</v>
      </c>
      <c r="C9" s="44">
        <v>3014340686</v>
      </c>
      <c r="D9" s="46">
        <v>557</v>
      </c>
      <c r="E9" s="51">
        <v>0.1</v>
      </c>
      <c r="F9" s="6"/>
      <c r="G9" s="56">
        <v>2</v>
      </c>
    </row>
    <row r="10" spans="1:11" x14ac:dyDescent="0.2">
      <c r="A10" s="52" t="s">
        <v>12</v>
      </c>
      <c r="B10" s="52">
        <v>7202158396</v>
      </c>
      <c r="C10" s="52">
        <v>3002906325</v>
      </c>
      <c r="D10" s="53">
        <v>195</v>
      </c>
      <c r="E10" s="54"/>
      <c r="F10" s="55"/>
      <c r="G10" s="57"/>
    </row>
    <row r="11" spans="1:11" x14ac:dyDescent="0.2">
      <c r="A11" s="44" t="s">
        <v>13</v>
      </c>
      <c r="B11" s="44">
        <v>7005723073</v>
      </c>
      <c r="C11" s="44">
        <v>3002906806</v>
      </c>
      <c r="D11" s="46">
        <v>1910</v>
      </c>
      <c r="E11" s="51">
        <v>0.2</v>
      </c>
      <c r="F11" s="6" t="s">
        <v>10</v>
      </c>
      <c r="G11" s="56">
        <v>2</v>
      </c>
    </row>
    <row r="12" spans="1:11" x14ac:dyDescent="0.2">
      <c r="A12" s="44" t="s">
        <v>14</v>
      </c>
      <c r="B12" s="44">
        <v>7009098124</v>
      </c>
      <c r="C12" s="44">
        <v>3003388708</v>
      </c>
      <c r="D12" s="46">
        <v>3532</v>
      </c>
      <c r="E12" s="51">
        <v>0.1</v>
      </c>
      <c r="F12" s="6"/>
      <c r="G12" s="56">
        <v>1</v>
      </c>
    </row>
    <row r="13" spans="1:11" x14ac:dyDescent="0.2">
      <c r="A13" s="44" t="s">
        <v>14</v>
      </c>
      <c r="B13" s="44">
        <v>7009098124</v>
      </c>
      <c r="C13" s="44">
        <v>3010494037</v>
      </c>
      <c r="D13" s="46">
        <v>1949</v>
      </c>
      <c r="E13" s="51">
        <v>0.1</v>
      </c>
      <c r="F13" s="6"/>
      <c r="G13" s="56">
        <v>1</v>
      </c>
    </row>
    <row r="14" spans="1:11" x14ac:dyDescent="0.2">
      <c r="A14" s="44" t="s">
        <v>15</v>
      </c>
      <c r="B14" s="44">
        <v>7005719624</v>
      </c>
      <c r="C14" s="44">
        <v>3001268572</v>
      </c>
      <c r="D14" s="46">
        <v>1181</v>
      </c>
      <c r="E14" s="51">
        <v>0.1</v>
      </c>
      <c r="F14" s="6"/>
      <c r="G14" s="56">
        <v>1</v>
      </c>
      <c r="K14" s="9"/>
    </row>
    <row r="15" spans="1:11" x14ac:dyDescent="0.2">
      <c r="A15" s="44" t="s">
        <v>16</v>
      </c>
      <c r="B15" s="44">
        <v>7005623640</v>
      </c>
      <c r="C15" s="44">
        <v>3002176022</v>
      </c>
      <c r="D15" s="46">
        <v>5639</v>
      </c>
      <c r="E15" s="59">
        <v>0.15</v>
      </c>
      <c r="F15" s="6"/>
      <c r="G15" s="56">
        <v>2</v>
      </c>
    </row>
    <row r="16" spans="1:11" x14ac:dyDescent="0.2">
      <c r="A16" s="52" t="s">
        <v>17</v>
      </c>
      <c r="B16" s="52">
        <v>7202048247</v>
      </c>
      <c r="C16" s="52">
        <v>3003586967</v>
      </c>
      <c r="D16" s="53">
        <v>86</v>
      </c>
      <c r="E16" s="54"/>
      <c r="F16" s="55"/>
      <c r="G16" s="57"/>
    </row>
    <row r="17" spans="1:10" hidden="1" x14ac:dyDescent="0.2">
      <c r="A17" s="52" t="s">
        <v>17</v>
      </c>
      <c r="B17" s="52">
        <v>7201379356</v>
      </c>
      <c r="C17" s="52">
        <v>3001450164</v>
      </c>
      <c r="D17" s="53"/>
      <c r="E17" s="54"/>
      <c r="F17" s="55"/>
      <c r="G17" s="57"/>
    </row>
    <row r="18" spans="1:10" ht="12" customHeight="1" x14ac:dyDescent="0.2">
      <c r="A18" s="52" t="s">
        <v>17</v>
      </c>
      <c r="B18" s="52">
        <v>7202048247</v>
      </c>
      <c r="C18" s="52">
        <v>3000881551</v>
      </c>
      <c r="D18" s="53">
        <v>1017</v>
      </c>
      <c r="E18" s="54"/>
      <c r="F18" s="55"/>
      <c r="G18" s="57"/>
      <c r="J18" s="14"/>
    </row>
    <row r="19" spans="1:10" ht="12" customHeight="1" x14ac:dyDescent="0.2">
      <c r="A19" s="44" t="s">
        <v>18</v>
      </c>
      <c r="B19" s="44">
        <v>7005634342</v>
      </c>
      <c r="C19" s="44">
        <v>3002906805</v>
      </c>
      <c r="D19" s="46">
        <v>2000</v>
      </c>
      <c r="E19" s="59">
        <v>0.2</v>
      </c>
      <c r="F19" s="6" t="s">
        <v>10</v>
      </c>
      <c r="G19" s="56">
        <v>2</v>
      </c>
      <c r="J19" s="14"/>
    </row>
    <row r="20" spans="1:10" ht="12" customHeight="1" x14ac:dyDescent="0.2">
      <c r="A20" s="44" t="s">
        <v>19</v>
      </c>
      <c r="B20" s="44">
        <v>7000047224</v>
      </c>
      <c r="C20" s="44">
        <v>3001450247</v>
      </c>
      <c r="D20" s="46">
        <v>1944</v>
      </c>
      <c r="E20" s="51">
        <v>0.1</v>
      </c>
      <c r="F20" s="6"/>
      <c r="G20" s="56">
        <v>1</v>
      </c>
      <c r="J20" s="14"/>
    </row>
    <row r="21" spans="1:10" ht="14.25" customHeight="1" x14ac:dyDescent="0.2">
      <c r="A21" s="52" t="s">
        <v>20</v>
      </c>
      <c r="B21" s="52">
        <v>7202360028</v>
      </c>
      <c r="C21" s="52">
        <v>3012107385</v>
      </c>
      <c r="D21" s="53">
        <v>483</v>
      </c>
      <c r="E21" s="54"/>
      <c r="F21" s="55"/>
      <c r="G21" s="57"/>
      <c r="J21" s="14"/>
    </row>
    <row r="22" spans="1:10" ht="14.25" customHeight="1" x14ac:dyDescent="0.2">
      <c r="A22" s="45" t="s">
        <v>21</v>
      </c>
      <c r="B22" s="44">
        <v>7005728190</v>
      </c>
      <c r="C22" s="44">
        <v>3002906524</v>
      </c>
      <c r="D22" s="46">
        <v>8674</v>
      </c>
      <c r="E22" s="51">
        <v>0.1</v>
      </c>
      <c r="F22" s="6" t="s">
        <v>10</v>
      </c>
      <c r="G22" s="56">
        <v>1</v>
      </c>
      <c r="J22" s="14"/>
    </row>
    <row r="23" spans="1:10" ht="14.25" customHeight="1" x14ac:dyDescent="0.2">
      <c r="A23" s="45" t="s">
        <v>22</v>
      </c>
      <c r="B23" s="44">
        <v>7010498067</v>
      </c>
      <c r="C23" s="44">
        <v>3013027271</v>
      </c>
      <c r="D23" s="46">
        <v>1669</v>
      </c>
      <c r="E23" s="51">
        <v>0.1</v>
      </c>
      <c r="F23" s="6"/>
      <c r="G23" s="56">
        <v>2</v>
      </c>
      <c r="J23" s="14"/>
    </row>
    <row r="24" spans="1:10" ht="14.25" customHeight="1" x14ac:dyDescent="0.2">
      <c r="A24" s="45" t="s">
        <v>23</v>
      </c>
      <c r="B24" s="44">
        <v>7005590706</v>
      </c>
      <c r="C24" s="44">
        <v>3006036124</v>
      </c>
      <c r="D24" s="46">
        <v>98</v>
      </c>
      <c r="E24" s="51">
        <v>0.1</v>
      </c>
      <c r="F24" s="6"/>
      <c r="G24" s="56">
        <v>1</v>
      </c>
      <c r="J24" s="14"/>
    </row>
    <row r="25" spans="1:10" ht="14.25" customHeight="1" x14ac:dyDescent="0.2">
      <c r="A25" s="45" t="s">
        <v>23</v>
      </c>
      <c r="B25" s="44">
        <v>7005590706</v>
      </c>
      <c r="C25" s="44">
        <v>3006066868</v>
      </c>
      <c r="D25" s="46">
        <v>28</v>
      </c>
      <c r="E25" s="51">
        <v>0.1</v>
      </c>
      <c r="F25" s="6"/>
      <c r="G25" s="56">
        <v>1</v>
      </c>
    </row>
    <row r="26" spans="1:10" ht="14.25" customHeight="1" x14ac:dyDescent="0.2">
      <c r="A26" s="45" t="s">
        <v>23</v>
      </c>
      <c r="B26" s="44">
        <v>7005590706</v>
      </c>
      <c r="C26" s="44">
        <v>3012116454</v>
      </c>
      <c r="D26" s="46">
        <v>28</v>
      </c>
      <c r="E26" s="51">
        <v>0.1</v>
      </c>
      <c r="F26" s="6"/>
      <c r="G26" s="56">
        <v>1</v>
      </c>
    </row>
    <row r="27" spans="1:10" ht="14.25" customHeight="1" x14ac:dyDescent="0.2">
      <c r="A27" s="45" t="s">
        <v>24</v>
      </c>
      <c r="B27" s="44">
        <v>7005707573</v>
      </c>
      <c r="C27" s="44">
        <v>3004831003</v>
      </c>
      <c r="D27" s="46">
        <v>45</v>
      </c>
      <c r="E27" s="51">
        <v>0.1</v>
      </c>
      <c r="F27" s="6"/>
      <c r="G27" s="56">
        <v>1</v>
      </c>
    </row>
    <row r="28" spans="1:10" ht="14.25" customHeight="1" x14ac:dyDescent="0.2">
      <c r="A28" s="45" t="s">
        <v>24</v>
      </c>
      <c r="B28" s="44">
        <v>7005707573</v>
      </c>
      <c r="C28" s="44">
        <v>3004831005</v>
      </c>
      <c r="D28" s="46"/>
      <c r="E28" s="51">
        <v>0.1</v>
      </c>
      <c r="F28" s="6"/>
      <c r="G28" s="56">
        <v>1</v>
      </c>
    </row>
    <row r="29" spans="1:10" ht="14.25" customHeight="1" x14ac:dyDescent="0.2">
      <c r="A29" s="45" t="s">
        <v>24</v>
      </c>
      <c r="B29" s="44">
        <v>7005707573</v>
      </c>
      <c r="C29" s="44">
        <v>3006425617</v>
      </c>
      <c r="D29" s="46">
        <v>634</v>
      </c>
      <c r="E29" s="51">
        <v>0.1</v>
      </c>
      <c r="F29" s="6"/>
      <c r="G29" s="56">
        <v>1</v>
      </c>
    </row>
    <row r="30" spans="1:10" x14ac:dyDescent="0.2">
      <c r="A30" s="45" t="s">
        <v>25</v>
      </c>
      <c r="B30" s="44">
        <v>7005530163</v>
      </c>
      <c r="C30" s="44">
        <v>3003562994</v>
      </c>
      <c r="D30" s="46">
        <v>3007</v>
      </c>
      <c r="E30" s="59">
        <v>0.2</v>
      </c>
      <c r="F30" s="6"/>
      <c r="G30" s="56">
        <v>2</v>
      </c>
    </row>
    <row r="31" spans="1:10" x14ac:dyDescent="0.2">
      <c r="A31" s="44" t="s">
        <v>26</v>
      </c>
      <c r="B31" s="44">
        <v>7202402563</v>
      </c>
      <c r="C31" s="44">
        <v>3006700739</v>
      </c>
      <c r="D31" s="46">
        <v>4080</v>
      </c>
      <c r="E31" s="59">
        <v>0.15</v>
      </c>
      <c r="F31" s="6"/>
      <c r="G31" s="56">
        <v>1</v>
      </c>
    </row>
    <row r="32" spans="1:10" x14ac:dyDescent="0.2">
      <c r="A32" s="10" t="s">
        <v>27</v>
      </c>
      <c r="B32" s="10">
        <v>7202760807</v>
      </c>
      <c r="C32" s="10">
        <v>3012940288</v>
      </c>
      <c r="D32" s="48">
        <v>1982</v>
      </c>
      <c r="E32" s="59">
        <v>0.15</v>
      </c>
      <c r="F32" s="11"/>
      <c r="G32" s="58">
        <v>2</v>
      </c>
    </row>
    <row r="33" spans="1:7" x14ac:dyDescent="0.2">
      <c r="A33" s="10" t="s">
        <v>28</v>
      </c>
      <c r="B33" s="10">
        <v>7202482231</v>
      </c>
      <c r="C33" s="10">
        <v>3004607095</v>
      </c>
      <c r="D33" s="48">
        <v>295</v>
      </c>
      <c r="E33" s="51">
        <v>0.1</v>
      </c>
      <c r="F33" s="11"/>
      <c r="G33" s="58">
        <v>2</v>
      </c>
    </row>
    <row r="34" spans="1:7" x14ac:dyDescent="0.2">
      <c r="A34" s="10" t="s">
        <v>28</v>
      </c>
      <c r="B34" s="10">
        <v>7202482231</v>
      </c>
      <c r="C34" s="49">
        <v>3005534144</v>
      </c>
      <c r="D34" s="48">
        <v>139</v>
      </c>
      <c r="E34" s="51">
        <v>0.1</v>
      </c>
      <c r="F34" s="11"/>
      <c r="G34" s="58">
        <v>2</v>
      </c>
    </row>
    <row r="35" spans="1:7" ht="13.5" thickBot="1" x14ac:dyDescent="0.25">
      <c r="C35" s="20" t="s">
        <v>29</v>
      </c>
      <c r="D35" s="21">
        <f>SUM(D3:D34)</f>
        <v>49482</v>
      </c>
      <c r="E35" s="22"/>
      <c r="F35" s="23"/>
      <c r="G35" s="23"/>
    </row>
    <row r="36" spans="1:7" ht="13.5" thickTop="1" x14ac:dyDescent="0.2"/>
  </sheetData>
  <mergeCells count="1">
    <mergeCell ref="D1:F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E0728-CD1C-4C1C-A8BB-827618920C55}">
  <dimension ref="A1:K36"/>
  <sheetViews>
    <sheetView zoomScaleNormal="100" workbookViewId="0">
      <selection activeCell="D22" sqref="D22"/>
    </sheetView>
  </sheetViews>
  <sheetFormatPr defaultRowHeight="12.75" x14ac:dyDescent="0.2"/>
  <cols>
    <col min="1" max="1" width="28.85546875" bestFit="1" customWidth="1"/>
    <col min="2" max="2" width="11.140625" bestFit="1" customWidth="1"/>
    <col min="3" max="3" width="14.140625" bestFit="1" customWidth="1"/>
    <col min="4" max="4" width="10.140625" bestFit="1" customWidth="1"/>
    <col min="5" max="5" width="11.5703125" customWidth="1"/>
    <col min="6" max="6" width="11.7109375" customWidth="1"/>
    <col min="7" max="7" width="7" bestFit="1" customWidth="1"/>
  </cols>
  <sheetData>
    <row r="1" spans="1:11" ht="16.5" thickTop="1" x14ac:dyDescent="0.25">
      <c r="A1" s="24"/>
      <c r="B1" s="25"/>
      <c r="C1" s="25"/>
      <c r="D1" s="139">
        <v>44593</v>
      </c>
      <c r="E1" s="140"/>
      <c r="F1" s="141"/>
    </row>
    <row r="2" spans="1:11" ht="30.75" customHeight="1" x14ac:dyDescent="0.2">
      <c r="A2" s="4" t="s">
        <v>0</v>
      </c>
      <c r="B2" s="3" t="s">
        <v>1</v>
      </c>
      <c r="C2" s="3" t="s">
        <v>2</v>
      </c>
      <c r="D2" s="3" t="s">
        <v>3</v>
      </c>
      <c r="E2" s="61" t="s">
        <v>4</v>
      </c>
      <c r="F2" s="60" t="s">
        <v>5</v>
      </c>
      <c r="G2" s="5" t="s">
        <v>6</v>
      </c>
    </row>
    <row r="3" spans="1:11" x14ac:dyDescent="0.2">
      <c r="A3" s="44" t="s">
        <v>7</v>
      </c>
      <c r="B3" s="44">
        <v>7005713839</v>
      </c>
      <c r="C3" s="44">
        <v>3003858507</v>
      </c>
      <c r="D3" s="46">
        <v>1330</v>
      </c>
      <c r="E3" s="51">
        <v>0.1</v>
      </c>
      <c r="F3" s="6"/>
      <c r="G3" s="56">
        <v>2</v>
      </c>
    </row>
    <row r="4" spans="1:11" x14ac:dyDescent="0.2">
      <c r="A4" s="44" t="s">
        <v>8</v>
      </c>
      <c r="B4" s="44">
        <v>7008528502</v>
      </c>
      <c r="C4" s="44">
        <v>3001084033</v>
      </c>
      <c r="D4" s="46">
        <v>5354</v>
      </c>
      <c r="E4" s="51">
        <v>0.1</v>
      </c>
      <c r="F4" s="6"/>
      <c r="G4" s="56">
        <v>1</v>
      </c>
    </row>
    <row r="5" spans="1:11" x14ac:dyDescent="0.2">
      <c r="A5" s="44" t="s">
        <v>9</v>
      </c>
      <c r="B5" s="44">
        <v>7200634170</v>
      </c>
      <c r="C5" s="44">
        <v>3012153634</v>
      </c>
      <c r="D5" s="46">
        <v>1892</v>
      </c>
      <c r="E5" s="51">
        <v>0.1</v>
      </c>
      <c r="F5" s="6" t="s">
        <v>10</v>
      </c>
      <c r="G5" s="56">
        <v>2</v>
      </c>
    </row>
    <row r="6" spans="1:11" x14ac:dyDescent="0.2">
      <c r="A6" s="44" t="s">
        <v>9</v>
      </c>
      <c r="B6" s="44">
        <v>7005369021</v>
      </c>
      <c r="C6" s="44">
        <v>3011373971</v>
      </c>
      <c r="D6" s="46">
        <v>183</v>
      </c>
      <c r="E6" s="51">
        <v>0.1</v>
      </c>
      <c r="F6" s="6" t="s">
        <v>10</v>
      </c>
      <c r="G6" s="56">
        <v>2</v>
      </c>
    </row>
    <row r="7" spans="1:11" x14ac:dyDescent="0.2">
      <c r="A7" s="44" t="s">
        <v>11</v>
      </c>
      <c r="B7" s="44">
        <v>7005492088</v>
      </c>
      <c r="C7" s="44">
        <v>3001449459</v>
      </c>
      <c r="D7" s="46">
        <v>620</v>
      </c>
      <c r="E7" s="51">
        <v>0.1</v>
      </c>
      <c r="F7" s="6"/>
      <c r="G7" s="56">
        <v>2</v>
      </c>
    </row>
    <row r="8" spans="1:11" x14ac:dyDescent="0.2">
      <c r="A8" s="44" t="s">
        <v>11</v>
      </c>
      <c r="B8" s="44">
        <v>7005492088</v>
      </c>
      <c r="C8" s="44">
        <v>3011504476</v>
      </c>
      <c r="D8" s="46">
        <v>818</v>
      </c>
      <c r="E8" s="51">
        <v>0.1</v>
      </c>
      <c r="F8" s="6"/>
      <c r="G8" s="56">
        <v>2</v>
      </c>
    </row>
    <row r="9" spans="1:11" x14ac:dyDescent="0.2">
      <c r="A9" s="44" t="s">
        <v>11</v>
      </c>
      <c r="B9" s="44">
        <v>7005492088</v>
      </c>
      <c r="C9" s="44">
        <v>3014340686</v>
      </c>
      <c r="D9" s="46">
        <v>733</v>
      </c>
      <c r="E9" s="51">
        <v>0.1</v>
      </c>
      <c r="F9" s="6"/>
      <c r="G9" s="56">
        <v>2</v>
      </c>
    </row>
    <row r="10" spans="1:11" x14ac:dyDescent="0.2">
      <c r="A10" s="52" t="s">
        <v>12</v>
      </c>
      <c r="B10" s="52">
        <v>7202158396</v>
      </c>
      <c r="C10" s="52">
        <v>3002906325</v>
      </c>
      <c r="D10" s="53">
        <v>257</v>
      </c>
      <c r="E10" s="54"/>
      <c r="F10" s="55"/>
      <c r="G10" s="57"/>
    </row>
    <row r="11" spans="1:11" x14ac:dyDescent="0.2">
      <c r="A11" s="44" t="s">
        <v>13</v>
      </c>
      <c r="B11" s="44">
        <v>7005723073</v>
      </c>
      <c r="C11" s="44">
        <v>3002906806</v>
      </c>
      <c r="D11" s="46">
        <v>2143</v>
      </c>
      <c r="E11" s="51">
        <v>0.2</v>
      </c>
      <c r="F11" s="6" t="s">
        <v>10</v>
      </c>
      <c r="G11" s="56">
        <v>2</v>
      </c>
    </row>
    <row r="12" spans="1:11" x14ac:dyDescent="0.2">
      <c r="A12" s="44" t="s">
        <v>14</v>
      </c>
      <c r="B12" s="44">
        <v>7009098124</v>
      </c>
      <c r="C12" s="44">
        <v>3003388708</v>
      </c>
      <c r="D12" s="46">
        <v>4803</v>
      </c>
      <c r="E12" s="51">
        <v>0.1</v>
      </c>
      <c r="F12" s="6"/>
      <c r="G12" s="56">
        <v>1</v>
      </c>
    </row>
    <row r="13" spans="1:11" x14ac:dyDescent="0.2">
      <c r="A13" s="44" t="s">
        <v>14</v>
      </c>
      <c r="B13" s="44">
        <v>7009098124</v>
      </c>
      <c r="C13" s="44">
        <v>3010494037</v>
      </c>
      <c r="D13" s="46">
        <v>2566</v>
      </c>
      <c r="E13" s="51">
        <v>0.1</v>
      </c>
      <c r="F13" s="6"/>
      <c r="G13" s="56">
        <v>1</v>
      </c>
    </row>
    <row r="14" spans="1:11" x14ac:dyDescent="0.2">
      <c r="A14" s="44" t="s">
        <v>15</v>
      </c>
      <c r="B14" s="44">
        <v>7005719624</v>
      </c>
      <c r="C14" s="44">
        <v>3001268572</v>
      </c>
      <c r="D14" s="46">
        <v>1525</v>
      </c>
      <c r="E14" s="51">
        <v>0.1</v>
      </c>
      <c r="F14" s="6"/>
      <c r="G14" s="56">
        <v>1</v>
      </c>
      <c r="K14" s="9"/>
    </row>
    <row r="15" spans="1:11" x14ac:dyDescent="0.2">
      <c r="A15" s="44" t="s">
        <v>16</v>
      </c>
      <c r="B15" s="44">
        <v>7005623640</v>
      </c>
      <c r="C15" s="44">
        <v>3002176022</v>
      </c>
      <c r="D15" s="46">
        <v>5982</v>
      </c>
      <c r="E15" s="59">
        <v>0.15</v>
      </c>
      <c r="F15" s="6"/>
      <c r="G15" s="56">
        <v>2</v>
      </c>
    </row>
    <row r="16" spans="1:11" x14ac:dyDescent="0.2">
      <c r="A16" s="52" t="s">
        <v>17</v>
      </c>
      <c r="B16" s="52">
        <v>7202048247</v>
      </c>
      <c r="C16" s="52">
        <v>3003586967</v>
      </c>
      <c r="D16" s="53">
        <v>110</v>
      </c>
      <c r="E16" s="54"/>
      <c r="F16" s="55"/>
      <c r="G16" s="57"/>
    </row>
    <row r="17" spans="1:10" hidden="1" x14ac:dyDescent="0.2">
      <c r="A17" s="52" t="s">
        <v>17</v>
      </c>
      <c r="B17" s="52">
        <v>7201379356</v>
      </c>
      <c r="C17" s="52">
        <v>3001450164</v>
      </c>
      <c r="D17" s="53"/>
      <c r="E17" s="54"/>
      <c r="F17" s="55"/>
      <c r="G17" s="57"/>
    </row>
    <row r="18" spans="1:10" ht="12" customHeight="1" x14ac:dyDescent="0.2">
      <c r="A18" s="52" t="s">
        <v>17</v>
      </c>
      <c r="B18" s="52">
        <v>7202048247</v>
      </c>
      <c r="C18" s="52">
        <v>3000881551</v>
      </c>
      <c r="D18" s="53">
        <v>1259</v>
      </c>
      <c r="E18" s="54"/>
      <c r="F18" s="55"/>
      <c r="G18" s="57"/>
      <c r="J18" s="14"/>
    </row>
    <row r="19" spans="1:10" ht="12" customHeight="1" x14ac:dyDescent="0.2">
      <c r="A19" s="44" t="s">
        <v>18</v>
      </c>
      <c r="B19" s="44">
        <v>7005634342</v>
      </c>
      <c r="C19" s="44">
        <v>3002906805</v>
      </c>
      <c r="D19" s="46">
        <v>2400</v>
      </c>
      <c r="E19" s="59">
        <v>0.2</v>
      </c>
      <c r="F19" s="6" t="s">
        <v>10</v>
      </c>
      <c r="G19" s="56">
        <v>2</v>
      </c>
      <c r="J19" s="14"/>
    </row>
    <row r="20" spans="1:10" ht="12" customHeight="1" x14ac:dyDescent="0.2">
      <c r="A20" s="44" t="s">
        <v>19</v>
      </c>
      <c r="B20" s="44">
        <v>7000047224</v>
      </c>
      <c r="C20" s="44">
        <v>3001450247</v>
      </c>
      <c r="D20" s="46">
        <v>2958</v>
      </c>
      <c r="E20" s="51">
        <v>0.1</v>
      </c>
      <c r="F20" s="6"/>
      <c r="G20" s="56">
        <v>1</v>
      </c>
      <c r="J20" s="14"/>
    </row>
    <row r="21" spans="1:10" ht="14.25" customHeight="1" x14ac:dyDescent="0.2">
      <c r="A21" s="52" t="s">
        <v>20</v>
      </c>
      <c r="B21" s="52">
        <v>7202360028</v>
      </c>
      <c r="C21" s="52">
        <v>3012107385</v>
      </c>
      <c r="D21" s="53">
        <v>546</v>
      </c>
      <c r="E21" s="54"/>
      <c r="F21" s="55"/>
      <c r="G21" s="57"/>
      <c r="J21" s="14"/>
    </row>
    <row r="22" spans="1:10" ht="14.25" customHeight="1" x14ac:dyDescent="0.2">
      <c r="A22" s="45" t="s">
        <v>21</v>
      </c>
      <c r="B22" s="44">
        <v>7005728190</v>
      </c>
      <c r="C22" s="44">
        <v>3002906524</v>
      </c>
      <c r="D22" s="46">
        <v>11298</v>
      </c>
      <c r="E22" s="51">
        <v>0.1</v>
      </c>
      <c r="F22" s="6" t="s">
        <v>10</v>
      </c>
      <c r="G22" s="56">
        <v>1</v>
      </c>
      <c r="J22" s="14"/>
    </row>
    <row r="23" spans="1:10" ht="14.25" customHeight="1" x14ac:dyDescent="0.2">
      <c r="A23" s="45" t="s">
        <v>22</v>
      </c>
      <c r="B23" s="44">
        <v>7010498067</v>
      </c>
      <c r="C23" s="44">
        <v>3013027271</v>
      </c>
      <c r="D23" s="46">
        <v>1983</v>
      </c>
      <c r="E23" s="51">
        <v>0.1</v>
      </c>
      <c r="F23" s="6"/>
      <c r="G23" s="56">
        <v>2</v>
      </c>
      <c r="J23" s="14"/>
    </row>
    <row r="24" spans="1:10" ht="14.25" customHeight="1" x14ac:dyDescent="0.2">
      <c r="A24" s="45" t="s">
        <v>23</v>
      </c>
      <c r="B24" s="44">
        <v>7005590706</v>
      </c>
      <c r="C24" s="44">
        <v>3006036124</v>
      </c>
      <c r="D24" s="46">
        <v>165</v>
      </c>
      <c r="E24" s="51">
        <v>0.1</v>
      </c>
      <c r="F24" s="6"/>
      <c r="G24" s="56">
        <v>1</v>
      </c>
      <c r="J24" s="14"/>
    </row>
    <row r="25" spans="1:10" ht="14.25" customHeight="1" x14ac:dyDescent="0.2">
      <c r="A25" s="45" t="s">
        <v>23</v>
      </c>
      <c r="B25" s="44">
        <v>7005590706</v>
      </c>
      <c r="C25" s="44">
        <v>3006066868</v>
      </c>
      <c r="D25" s="46">
        <v>37</v>
      </c>
      <c r="E25" s="51">
        <v>0.1</v>
      </c>
      <c r="F25" s="6"/>
      <c r="G25" s="56">
        <v>1</v>
      </c>
    </row>
    <row r="26" spans="1:10" ht="14.25" customHeight="1" x14ac:dyDescent="0.2">
      <c r="A26" s="45" t="s">
        <v>23</v>
      </c>
      <c r="B26" s="44">
        <v>7005590706</v>
      </c>
      <c r="C26" s="44">
        <v>3012116454</v>
      </c>
      <c r="D26" s="46">
        <v>37</v>
      </c>
      <c r="E26" s="51">
        <v>0.1</v>
      </c>
      <c r="F26" s="6"/>
      <c r="G26" s="56">
        <v>1</v>
      </c>
    </row>
    <row r="27" spans="1:10" ht="14.25" customHeight="1" x14ac:dyDescent="0.2">
      <c r="A27" s="45" t="s">
        <v>24</v>
      </c>
      <c r="B27" s="44">
        <v>7005707573</v>
      </c>
      <c r="C27" s="44">
        <v>3004831003</v>
      </c>
      <c r="D27" s="46">
        <v>37</v>
      </c>
      <c r="E27" s="51">
        <v>0.1</v>
      </c>
      <c r="F27" s="6"/>
      <c r="G27" s="56">
        <v>1</v>
      </c>
    </row>
    <row r="28" spans="1:10" ht="14.25" customHeight="1" x14ac:dyDescent="0.2">
      <c r="A28" s="45" t="s">
        <v>24</v>
      </c>
      <c r="B28" s="44">
        <v>7005707573</v>
      </c>
      <c r="C28" s="44">
        <v>3004831005</v>
      </c>
      <c r="D28" s="46">
        <v>0</v>
      </c>
      <c r="E28" s="51">
        <v>0.1</v>
      </c>
      <c r="F28" s="6"/>
      <c r="G28" s="56">
        <v>1</v>
      </c>
    </row>
    <row r="29" spans="1:10" ht="14.25" customHeight="1" x14ac:dyDescent="0.2">
      <c r="A29" s="45" t="s">
        <v>24</v>
      </c>
      <c r="B29" s="44">
        <v>7005707573</v>
      </c>
      <c r="C29" s="44">
        <v>3006425617</v>
      </c>
      <c r="D29" s="46">
        <v>0</v>
      </c>
      <c r="E29" s="51">
        <v>0.1</v>
      </c>
      <c r="F29" s="6"/>
      <c r="G29" s="56">
        <v>1</v>
      </c>
    </row>
    <row r="30" spans="1:10" x14ac:dyDescent="0.2">
      <c r="A30" s="45" t="s">
        <v>25</v>
      </c>
      <c r="B30" s="44">
        <v>7005530163</v>
      </c>
      <c r="C30" s="44">
        <v>3003562994</v>
      </c>
      <c r="D30" s="46">
        <v>3533</v>
      </c>
      <c r="E30" s="59">
        <v>0.2</v>
      </c>
      <c r="F30" s="6"/>
      <c r="G30" s="56">
        <v>2</v>
      </c>
    </row>
    <row r="31" spans="1:10" x14ac:dyDescent="0.2">
      <c r="A31" s="44" t="s">
        <v>26</v>
      </c>
      <c r="B31" s="44">
        <v>7202402563</v>
      </c>
      <c r="C31" s="44">
        <v>3006700739</v>
      </c>
      <c r="D31" s="46">
        <v>4407</v>
      </c>
      <c r="E31" s="59">
        <v>0.15</v>
      </c>
      <c r="F31" s="6"/>
      <c r="G31" s="56">
        <v>1</v>
      </c>
    </row>
    <row r="32" spans="1:10" x14ac:dyDescent="0.2">
      <c r="A32" s="10" t="s">
        <v>27</v>
      </c>
      <c r="B32" s="10">
        <v>7202760807</v>
      </c>
      <c r="C32" s="10">
        <v>3012940288</v>
      </c>
      <c r="D32" s="48">
        <v>2070</v>
      </c>
      <c r="E32" s="59">
        <v>0.15</v>
      </c>
      <c r="F32" s="11"/>
      <c r="G32" s="58">
        <v>2</v>
      </c>
    </row>
    <row r="33" spans="1:7" x14ac:dyDescent="0.2">
      <c r="A33" s="10" t="s">
        <v>28</v>
      </c>
      <c r="B33" s="10">
        <v>7202482231</v>
      </c>
      <c r="C33" s="10">
        <v>3004607095</v>
      </c>
      <c r="D33" s="48">
        <v>367</v>
      </c>
      <c r="E33" s="51">
        <v>0.1</v>
      </c>
      <c r="F33" s="11"/>
      <c r="G33" s="58">
        <v>2</v>
      </c>
    </row>
    <row r="34" spans="1:7" x14ac:dyDescent="0.2">
      <c r="A34" s="10" t="s">
        <v>28</v>
      </c>
      <c r="B34" s="10">
        <v>7202482231</v>
      </c>
      <c r="C34" s="49">
        <v>3005534144</v>
      </c>
      <c r="D34" s="48">
        <v>183</v>
      </c>
      <c r="E34" s="51">
        <v>0.1</v>
      </c>
      <c r="F34" s="11"/>
      <c r="G34" s="58">
        <v>2</v>
      </c>
    </row>
    <row r="35" spans="1:7" ht="13.5" thickBot="1" x14ac:dyDescent="0.25">
      <c r="C35" s="20" t="s">
        <v>29</v>
      </c>
      <c r="D35" s="21">
        <f>SUM(D3:D34)</f>
        <v>59596</v>
      </c>
      <c r="E35" s="22"/>
      <c r="F35" s="23"/>
      <c r="G35" s="23"/>
    </row>
    <row r="36" spans="1:7" ht="13.5" thickTop="1" x14ac:dyDescent="0.2"/>
  </sheetData>
  <mergeCells count="1">
    <mergeCell ref="D1:F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50E4B-E9A8-4820-8BC2-A4240B8F10CF}">
  <dimension ref="A1:K36"/>
  <sheetViews>
    <sheetView workbookViewId="0">
      <selection activeCell="J20" sqref="J20"/>
    </sheetView>
  </sheetViews>
  <sheetFormatPr defaultRowHeight="12.75" x14ac:dyDescent="0.2"/>
  <cols>
    <col min="1" max="1" width="28.85546875" bestFit="1" customWidth="1"/>
    <col min="2" max="2" width="11.140625" bestFit="1" customWidth="1"/>
    <col min="3" max="3" width="14.140625" bestFit="1" customWidth="1"/>
    <col min="4" max="4" width="10.140625" bestFit="1" customWidth="1"/>
    <col min="5" max="5" width="11.5703125" customWidth="1"/>
    <col min="6" max="6" width="13.140625" customWidth="1"/>
    <col min="7" max="7" width="7" bestFit="1" customWidth="1"/>
  </cols>
  <sheetData>
    <row r="1" spans="1:11" ht="16.5" thickTop="1" x14ac:dyDescent="0.25">
      <c r="A1" s="24"/>
      <c r="B1" s="25"/>
      <c r="C1" s="25"/>
      <c r="D1" s="139">
        <v>44621</v>
      </c>
      <c r="E1" s="140"/>
      <c r="F1" s="141"/>
    </row>
    <row r="2" spans="1:11" ht="30.75" customHeight="1" x14ac:dyDescent="0.2">
      <c r="A2" s="4" t="s">
        <v>0</v>
      </c>
      <c r="B2" s="3" t="s">
        <v>1</v>
      </c>
      <c r="C2" s="3" t="s">
        <v>2</v>
      </c>
      <c r="D2" s="3" t="s">
        <v>3</v>
      </c>
      <c r="E2" s="61" t="s">
        <v>4</v>
      </c>
      <c r="F2" s="60" t="s">
        <v>5</v>
      </c>
      <c r="G2" s="5" t="s">
        <v>6</v>
      </c>
    </row>
    <row r="3" spans="1:11" x14ac:dyDescent="0.2">
      <c r="A3" s="44" t="s">
        <v>7</v>
      </c>
      <c r="B3" s="44">
        <v>7005713839</v>
      </c>
      <c r="C3" s="44">
        <v>3003858507</v>
      </c>
      <c r="D3" s="46">
        <v>686</v>
      </c>
      <c r="E3" s="51">
        <v>0.1</v>
      </c>
      <c r="F3" s="62"/>
      <c r="G3" s="56">
        <v>2</v>
      </c>
    </row>
    <row r="4" spans="1:11" x14ac:dyDescent="0.2">
      <c r="A4" s="44" t="s">
        <v>8</v>
      </c>
      <c r="B4" s="44">
        <v>7008528502</v>
      </c>
      <c r="C4" s="44">
        <v>3001084033</v>
      </c>
      <c r="D4" s="46">
        <v>4330</v>
      </c>
      <c r="E4" s="51">
        <v>0.1</v>
      </c>
      <c r="F4" s="62"/>
      <c r="G4" s="56">
        <v>1</v>
      </c>
    </row>
    <row r="5" spans="1:11" x14ac:dyDescent="0.2">
      <c r="A5" s="44" t="s">
        <v>9</v>
      </c>
      <c r="B5" s="44">
        <v>7200634170</v>
      </c>
      <c r="C5" s="44">
        <v>3012153634</v>
      </c>
      <c r="D5" s="46">
        <v>642</v>
      </c>
      <c r="E5" s="51">
        <v>0.1</v>
      </c>
      <c r="F5" s="62" t="s">
        <v>10</v>
      </c>
      <c r="G5" s="56">
        <v>2</v>
      </c>
    </row>
    <row r="6" spans="1:11" x14ac:dyDescent="0.2">
      <c r="A6" s="44" t="s">
        <v>9</v>
      </c>
      <c r="B6" s="44">
        <v>7005369021</v>
      </c>
      <c r="C6" s="44">
        <v>3011373971</v>
      </c>
      <c r="D6" s="46">
        <v>173</v>
      </c>
      <c r="E6" s="51">
        <v>0.1</v>
      </c>
      <c r="F6" s="62" t="s">
        <v>10</v>
      </c>
      <c r="G6" s="56">
        <v>2</v>
      </c>
    </row>
    <row r="7" spans="1:11" x14ac:dyDescent="0.2">
      <c r="A7" s="44" t="s">
        <v>11</v>
      </c>
      <c r="B7" s="44">
        <v>7005492088</v>
      </c>
      <c r="C7" s="44">
        <v>3001449459</v>
      </c>
      <c r="D7" s="46">
        <v>620</v>
      </c>
      <c r="E7" s="51">
        <v>0.1</v>
      </c>
      <c r="F7" s="62"/>
      <c r="G7" s="56">
        <v>2</v>
      </c>
    </row>
    <row r="8" spans="1:11" x14ac:dyDescent="0.2">
      <c r="A8" s="44" t="s">
        <v>11</v>
      </c>
      <c r="B8" s="44">
        <v>7005492088</v>
      </c>
      <c r="C8" s="44">
        <v>3011504476</v>
      </c>
      <c r="D8" s="46">
        <v>781</v>
      </c>
      <c r="E8" s="51">
        <v>0.1</v>
      </c>
      <c r="F8" s="62"/>
      <c r="G8" s="56">
        <v>2</v>
      </c>
    </row>
    <row r="9" spans="1:11" x14ac:dyDescent="0.2">
      <c r="A9" s="44" t="s">
        <v>11</v>
      </c>
      <c r="B9" s="44">
        <v>7005492088</v>
      </c>
      <c r="C9" s="44">
        <v>3014340686</v>
      </c>
      <c r="D9" s="46">
        <v>691</v>
      </c>
      <c r="E9" s="51">
        <v>0.1</v>
      </c>
      <c r="F9" s="62"/>
      <c r="G9" s="56">
        <v>2</v>
      </c>
    </row>
    <row r="10" spans="1:11" x14ac:dyDescent="0.2">
      <c r="A10" s="52" t="s">
        <v>12</v>
      </c>
      <c r="B10" s="52">
        <v>7202158396</v>
      </c>
      <c r="C10" s="52">
        <v>3002906325</v>
      </c>
      <c r="D10" s="53">
        <v>242</v>
      </c>
      <c r="E10" s="54"/>
      <c r="F10" s="63"/>
      <c r="G10" s="57"/>
    </row>
    <row r="11" spans="1:11" x14ac:dyDescent="0.2">
      <c r="A11" s="44" t="s">
        <v>13</v>
      </c>
      <c r="B11" s="44">
        <v>7005723073</v>
      </c>
      <c r="C11" s="44">
        <v>3002906806</v>
      </c>
      <c r="D11" s="46">
        <v>2219</v>
      </c>
      <c r="E11" s="51">
        <v>0.2</v>
      </c>
      <c r="F11" s="62" t="s">
        <v>10</v>
      </c>
      <c r="G11" s="56">
        <v>2</v>
      </c>
    </row>
    <row r="12" spans="1:11" x14ac:dyDescent="0.2">
      <c r="A12" s="44" t="s">
        <v>14</v>
      </c>
      <c r="B12" s="44">
        <v>7009098124</v>
      </c>
      <c r="C12" s="44">
        <v>3003388708</v>
      </c>
      <c r="D12" s="46">
        <v>3870</v>
      </c>
      <c r="E12" s="51">
        <v>0.1</v>
      </c>
      <c r="F12" s="62"/>
      <c r="G12" s="56">
        <v>1</v>
      </c>
    </row>
    <row r="13" spans="1:11" x14ac:dyDescent="0.2">
      <c r="A13" s="44" t="s">
        <v>14</v>
      </c>
      <c r="B13" s="44">
        <v>7009098124</v>
      </c>
      <c r="C13" s="44">
        <v>3010494037</v>
      </c>
      <c r="D13" s="46">
        <v>2419</v>
      </c>
      <c r="E13" s="51">
        <v>0.1</v>
      </c>
      <c r="F13" s="62"/>
      <c r="G13" s="56">
        <v>1</v>
      </c>
    </row>
    <row r="14" spans="1:11" x14ac:dyDescent="0.2">
      <c r="A14" s="44" t="s">
        <v>15</v>
      </c>
      <c r="B14" s="44">
        <v>7005719624</v>
      </c>
      <c r="C14" s="44">
        <v>3001268572</v>
      </c>
      <c r="D14" s="46">
        <v>1453</v>
      </c>
      <c r="E14" s="51">
        <v>0.1</v>
      </c>
      <c r="F14" s="62"/>
      <c r="G14" s="56">
        <v>1</v>
      </c>
      <c r="K14" s="9"/>
    </row>
    <row r="15" spans="1:11" x14ac:dyDescent="0.2">
      <c r="A15" s="44" t="s">
        <v>16</v>
      </c>
      <c r="B15" s="44">
        <v>7005623640</v>
      </c>
      <c r="C15" s="44">
        <v>3002176022</v>
      </c>
      <c r="D15" s="46">
        <v>6216</v>
      </c>
      <c r="E15" s="59">
        <v>0.15</v>
      </c>
      <c r="F15" s="62"/>
      <c r="G15" s="56">
        <v>2</v>
      </c>
    </row>
    <row r="16" spans="1:11" x14ac:dyDescent="0.2">
      <c r="A16" s="52" t="s">
        <v>17</v>
      </c>
      <c r="B16" s="52">
        <v>7202048247</v>
      </c>
      <c r="C16" s="52">
        <v>3003586967</v>
      </c>
      <c r="D16" s="53">
        <v>104</v>
      </c>
      <c r="E16" s="54"/>
      <c r="F16" s="63"/>
      <c r="G16" s="57"/>
    </row>
    <row r="17" spans="1:10" hidden="1" x14ac:dyDescent="0.2">
      <c r="A17" s="52" t="s">
        <v>17</v>
      </c>
      <c r="B17" s="52">
        <v>7201379356</v>
      </c>
      <c r="C17" s="52">
        <v>3001450164</v>
      </c>
      <c r="D17" s="53"/>
      <c r="E17" s="54"/>
      <c r="F17" s="63"/>
      <c r="G17" s="57"/>
    </row>
    <row r="18" spans="1:10" ht="12" customHeight="1" x14ac:dyDescent="0.2">
      <c r="A18" s="52" t="s">
        <v>17</v>
      </c>
      <c r="B18" s="52">
        <v>7202048247</v>
      </c>
      <c r="C18" s="52">
        <v>3000881551</v>
      </c>
      <c r="D18" s="53">
        <v>1244</v>
      </c>
      <c r="E18" s="54"/>
      <c r="F18" s="63"/>
      <c r="G18" s="57"/>
      <c r="J18" s="14"/>
    </row>
    <row r="19" spans="1:10" ht="12" customHeight="1" x14ac:dyDescent="0.2">
      <c r="A19" s="44" t="s">
        <v>18</v>
      </c>
      <c r="B19" s="44">
        <v>7005634342</v>
      </c>
      <c r="C19" s="44">
        <v>3002906805</v>
      </c>
      <c r="D19" s="46">
        <v>2600</v>
      </c>
      <c r="E19" s="59">
        <v>0.2</v>
      </c>
      <c r="F19" s="62" t="s">
        <v>10</v>
      </c>
      <c r="G19" s="56">
        <v>2</v>
      </c>
      <c r="J19" s="14"/>
    </row>
    <row r="20" spans="1:10" ht="12" customHeight="1" x14ac:dyDescent="0.2">
      <c r="A20" s="44" t="s">
        <v>19</v>
      </c>
      <c r="B20" s="44">
        <v>7000047224</v>
      </c>
      <c r="C20" s="44">
        <v>3001450247</v>
      </c>
      <c r="D20" s="46">
        <v>2070</v>
      </c>
      <c r="E20" s="51">
        <v>0.1</v>
      </c>
      <c r="F20" s="62"/>
      <c r="G20" s="56">
        <v>1</v>
      </c>
      <c r="J20" s="14"/>
    </row>
    <row r="21" spans="1:10" ht="14.25" customHeight="1" x14ac:dyDescent="0.2">
      <c r="A21" s="52" t="s">
        <v>20</v>
      </c>
      <c r="B21" s="52">
        <v>7202360028</v>
      </c>
      <c r="C21" s="52">
        <v>3012107385</v>
      </c>
      <c r="D21" s="53">
        <v>352</v>
      </c>
      <c r="E21" s="54"/>
      <c r="F21" s="63"/>
      <c r="G21" s="57"/>
      <c r="J21" s="14"/>
    </row>
    <row r="22" spans="1:10" ht="14.25" customHeight="1" x14ac:dyDescent="0.2">
      <c r="A22" s="45" t="s">
        <v>21</v>
      </c>
      <c r="B22" s="44">
        <v>7005728190</v>
      </c>
      <c r="C22" s="44">
        <v>3002906524</v>
      </c>
      <c r="D22" s="46">
        <v>6480</v>
      </c>
      <c r="E22" s="51">
        <v>0.1</v>
      </c>
      <c r="F22" s="62" t="s">
        <v>10</v>
      </c>
      <c r="G22" s="56">
        <v>1</v>
      </c>
      <c r="J22" s="14"/>
    </row>
    <row r="23" spans="1:10" ht="14.25" customHeight="1" x14ac:dyDescent="0.2">
      <c r="A23" s="45" t="s">
        <v>22</v>
      </c>
      <c r="B23" s="44">
        <v>7010498067</v>
      </c>
      <c r="C23" s="44">
        <v>3013027271</v>
      </c>
      <c r="D23" s="46">
        <v>1881</v>
      </c>
      <c r="E23" s="51">
        <v>0.1</v>
      </c>
      <c r="F23" s="62"/>
      <c r="G23" s="56">
        <v>2</v>
      </c>
      <c r="J23" s="14"/>
    </row>
    <row r="24" spans="1:10" ht="14.25" customHeight="1" x14ac:dyDescent="0.2">
      <c r="A24" s="45" t="s">
        <v>23</v>
      </c>
      <c r="B24" s="44">
        <v>7005590706</v>
      </c>
      <c r="C24" s="44">
        <v>3006036124</v>
      </c>
      <c r="D24" s="46">
        <v>38</v>
      </c>
      <c r="E24" s="51">
        <v>0.1</v>
      </c>
      <c r="F24" s="62"/>
      <c r="G24" s="56">
        <v>1</v>
      </c>
      <c r="J24" s="14"/>
    </row>
    <row r="25" spans="1:10" ht="14.25" customHeight="1" x14ac:dyDescent="0.2">
      <c r="A25" s="45" t="s">
        <v>23</v>
      </c>
      <c r="B25" s="44">
        <v>7005590706</v>
      </c>
      <c r="C25" s="44">
        <v>3006066868</v>
      </c>
      <c r="D25" s="46">
        <v>35</v>
      </c>
      <c r="E25" s="51">
        <v>0.1</v>
      </c>
      <c r="F25" s="62"/>
      <c r="G25" s="56">
        <v>1</v>
      </c>
    </row>
    <row r="26" spans="1:10" ht="14.25" customHeight="1" x14ac:dyDescent="0.2">
      <c r="A26" s="45" t="s">
        <v>23</v>
      </c>
      <c r="B26" s="44">
        <v>7005590706</v>
      </c>
      <c r="C26" s="44">
        <v>3012116454</v>
      </c>
      <c r="D26" s="46">
        <v>35</v>
      </c>
      <c r="E26" s="51">
        <v>0.1</v>
      </c>
      <c r="F26" s="62"/>
      <c r="G26" s="56">
        <v>1</v>
      </c>
    </row>
    <row r="27" spans="1:10" ht="14.25" customHeight="1" x14ac:dyDescent="0.2">
      <c r="A27" s="45" t="s">
        <v>24</v>
      </c>
      <c r="B27" s="44">
        <v>7005707573</v>
      </c>
      <c r="C27" s="44">
        <v>3004831003</v>
      </c>
      <c r="D27" s="46">
        <v>35</v>
      </c>
      <c r="E27" s="51">
        <v>0.1</v>
      </c>
      <c r="F27" s="62"/>
      <c r="G27" s="56">
        <v>1</v>
      </c>
    </row>
    <row r="28" spans="1:10" ht="14.25" customHeight="1" x14ac:dyDescent="0.2">
      <c r="A28" s="45" t="s">
        <v>24</v>
      </c>
      <c r="B28" s="44">
        <v>7005707573</v>
      </c>
      <c r="C28" s="44">
        <v>3004831005</v>
      </c>
      <c r="D28" s="46">
        <v>0</v>
      </c>
      <c r="E28" s="51">
        <v>0.1</v>
      </c>
      <c r="F28" s="62"/>
      <c r="G28" s="56">
        <v>1</v>
      </c>
    </row>
    <row r="29" spans="1:10" ht="14.25" customHeight="1" x14ac:dyDescent="0.2">
      <c r="A29" s="45" t="s">
        <v>24</v>
      </c>
      <c r="B29" s="44">
        <v>7005707573</v>
      </c>
      <c r="C29" s="44">
        <v>3006425617</v>
      </c>
      <c r="D29" s="46">
        <v>0</v>
      </c>
      <c r="E29" s="51">
        <v>0.1</v>
      </c>
      <c r="F29" s="62"/>
      <c r="G29" s="56">
        <v>1</v>
      </c>
    </row>
    <row r="30" spans="1:10" x14ac:dyDescent="0.2">
      <c r="A30" s="45" t="s">
        <v>25</v>
      </c>
      <c r="B30" s="44">
        <v>7005530163</v>
      </c>
      <c r="C30" s="44">
        <v>3003562994</v>
      </c>
      <c r="D30" s="46">
        <v>4036</v>
      </c>
      <c r="E30" s="59">
        <v>0.2</v>
      </c>
      <c r="F30" s="62"/>
      <c r="G30" s="56">
        <v>2</v>
      </c>
    </row>
    <row r="31" spans="1:10" x14ac:dyDescent="0.2">
      <c r="A31" s="44" t="s">
        <v>26</v>
      </c>
      <c r="B31" s="44">
        <v>7202402563</v>
      </c>
      <c r="C31" s="44">
        <v>3006700739</v>
      </c>
      <c r="D31" s="46">
        <v>4901</v>
      </c>
      <c r="E31" s="59">
        <v>0.15</v>
      </c>
      <c r="F31" s="62"/>
      <c r="G31" s="56">
        <v>1</v>
      </c>
    </row>
    <row r="32" spans="1:10" x14ac:dyDescent="0.2">
      <c r="A32" s="10" t="s">
        <v>27</v>
      </c>
      <c r="B32" s="10">
        <v>7202760807</v>
      </c>
      <c r="C32" s="10">
        <v>3012940288</v>
      </c>
      <c r="D32" s="48">
        <v>2464</v>
      </c>
      <c r="E32" s="59">
        <v>0.15</v>
      </c>
      <c r="F32" s="64"/>
      <c r="G32" s="58">
        <v>2</v>
      </c>
    </row>
    <row r="33" spans="1:7" x14ac:dyDescent="0.2">
      <c r="A33" s="10" t="s">
        <v>28</v>
      </c>
      <c r="B33" s="10">
        <v>7202482231</v>
      </c>
      <c r="C33" s="10">
        <v>3004607095</v>
      </c>
      <c r="D33" s="48">
        <v>346</v>
      </c>
      <c r="E33" s="51">
        <v>0.1</v>
      </c>
      <c r="F33" s="64"/>
      <c r="G33" s="58">
        <v>2</v>
      </c>
    </row>
    <row r="34" spans="1:7" x14ac:dyDescent="0.2">
      <c r="A34" s="10" t="s">
        <v>28</v>
      </c>
      <c r="B34" s="10">
        <v>7202482231</v>
      </c>
      <c r="C34" s="49">
        <v>3005534144</v>
      </c>
      <c r="D34" s="48">
        <v>173</v>
      </c>
      <c r="E34" s="51">
        <v>0.1</v>
      </c>
      <c r="F34" s="64"/>
      <c r="G34" s="58">
        <v>2</v>
      </c>
    </row>
    <row r="35" spans="1:7" ht="13.5" thickBot="1" x14ac:dyDescent="0.25">
      <c r="C35" s="20" t="s">
        <v>29</v>
      </c>
      <c r="D35" s="21">
        <f>SUM(D3:D34)</f>
        <v>51136</v>
      </c>
      <c r="E35" s="22"/>
      <c r="F35" s="23"/>
      <c r="G35" s="23"/>
    </row>
    <row r="36" spans="1:7" ht="13.5" thickTop="1" x14ac:dyDescent="0.2"/>
  </sheetData>
  <mergeCells count="1">
    <mergeCell ref="D1:F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BE5CA-2AA8-4978-A8ED-700E6390BCF9}">
  <dimension ref="A1:K36"/>
  <sheetViews>
    <sheetView zoomScaleNormal="100" workbookViewId="0">
      <selection activeCell="F5" sqref="F5:F6"/>
    </sheetView>
  </sheetViews>
  <sheetFormatPr defaultRowHeight="12.75" x14ac:dyDescent="0.2"/>
  <cols>
    <col min="1" max="1" width="28.85546875" bestFit="1" customWidth="1"/>
    <col min="2" max="2" width="11.140625" bestFit="1" customWidth="1"/>
    <col min="3" max="3" width="14.140625" bestFit="1" customWidth="1"/>
    <col min="4" max="4" width="10.140625" bestFit="1" customWidth="1"/>
    <col min="5" max="5" width="11.5703125" customWidth="1"/>
    <col min="6" max="6" width="13.140625" customWidth="1"/>
    <col min="7" max="7" width="7" bestFit="1" customWidth="1"/>
  </cols>
  <sheetData>
    <row r="1" spans="1:11" ht="16.5" thickTop="1" x14ac:dyDescent="0.25">
      <c r="A1" s="24"/>
      <c r="B1" s="25"/>
      <c r="C1" s="25"/>
      <c r="D1" s="139">
        <v>44652</v>
      </c>
      <c r="E1" s="140"/>
      <c r="F1" s="141"/>
    </row>
    <row r="2" spans="1:11" ht="30.75" customHeight="1" x14ac:dyDescent="0.2">
      <c r="A2" s="4" t="s">
        <v>0</v>
      </c>
      <c r="B2" s="3" t="s">
        <v>1</v>
      </c>
      <c r="C2" s="3" t="s">
        <v>2</v>
      </c>
      <c r="D2" s="3" t="s">
        <v>3</v>
      </c>
      <c r="E2" s="61" t="s">
        <v>4</v>
      </c>
      <c r="F2" s="60" t="s">
        <v>5</v>
      </c>
      <c r="G2" s="5" t="s">
        <v>6</v>
      </c>
    </row>
    <row r="3" spans="1:11" x14ac:dyDescent="0.2">
      <c r="A3" s="44" t="s">
        <v>7</v>
      </c>
      <c r="B3" s="44">
        <v>7005713839</v>
      </c>
      <c r="C3" s="44">
        <v>3003858507</v>
      </c>
      <c r="D3" s="46">
        <v>3653</v>
      </c>
      <c r="E3" s="51">
        <v>0.1</v>
      </c>
      <c r="F3" s="62"/>
      <c r="G3" s="56">
        <v>2</v>
      </c>
    </row>
    <row r="4" spans="1:11" x14ac:dyDescent="0.2">
      <c r="A4" s="44" t="s">
        <v>8</v>
      </c>
      <c r="B4" s="44">
        <v>7008528502</v>
      </c>
      <c r="C4" s="44">
        <v>3001084033</v>
      </c>
      <c r="D4" s="46">
        <v>6369</v>
      </c>
      <c r="E4" s="51">
        <v>0.1</v>
      </c>
      <c r="F4" s="62"/>
      <c r="G4" s="56">
        <v>1</v>
      </c>
    </row>
    <row r="5" spans="1:11" x14ac:dyDescent="0.2">
      <c r="A5" s="44" t="s">
        <v>9</v>
      </c>
      <c r="B5" s="44">
        <v>7200634170</v>
      </c>
      <c r="C5" s="44">
        <v>3012153634</v>
      </c>
      <c r="D5" s="46">
        <v>1930</v>
      </c>
      <c r="E5" s="51">
        <v>0.1</v>
      </c>
      <c r="F5" s="62" t="s">
        <v>10</v>
      </c>
      <c r="G5" s="56">
        <v>2</v>
      </c>
    </row>
    <row r="6" spans="1:11" x14ac:dyDescent="0.2">
      <c r="A6" s="44" t="s">
        <v>9</v>
      </c>
      <c r="B6" s="44">
        <v>7005369021</v>
      </c>
      <c r="C6" s="44">
        <v>3011373971</v>
      </c>
      <c r="D6" s="46">
        <v>560</v>
      </c>
      <c r="E6" s="51">
        <v>0.1</v>
      </c>
      <c r="F6" s="62" t="s">
        <v>10</v>
      </c>
      <c r="G6" s="56">
        <v>2</v>
      </c>
    </row>
    <row r="7" spans="1:11" x14ac:dyDescent="0.2">
      <c r="A7" s="44" t="s">
        <v>11</v>
      </c>
      <c r="B7" s="44">
        <v>7005492088</v>
      </c>
      <c r="C7" s="44">
        <v>3001449459</v>
      </c>
      <c r="D7" s="46">
        <v>800</v>
      </c>
      <c r="E7" s="51">
        <v>0.1</v>
      </c>
      <c r="F7" s="62"/>
      <c r="G7" s="56">
        <v>2</v>
      </c>
    </row>
    <row r="8" spans="1:11" x14ac:dyDescent="0.2">
      <c r="A8" s="44" t="s">
        <v>11</v>
      </c>
      <c r="B8" s="44">
        <v>7005492088</v>
      </c>
      <c r="C8" s="44">
        <v>3011504476</v>
      </c>
      <c r="D8" s="46">
        <v>2700</v>
      </c>
      <c r="E8" s="51">
        <v>0.1</v>
      </c>
      <c r="F8" s="62"/>
      <c r="G8" s="56">
        <v>2</v>
      </c>
    </row>
    <row r="9" spans="1:11" x14ac:dyDescent="0.2">
      <c r="A9" s="44" t="s">
        <v>11</v>
      </c>
      <c r="B9" s="44">
        <v>7005492088</v>
      </c>
      <c r="C9" s="44">
        <v>3014340686</v>
      </c>
      <c r="D9" s="46">
        <v>1995</v>
      </c>
      <c r="E9" s="51">
        <v>0.1</v>
      </c>
      <c r="F9" s="62"/>
      <c r="G9" s="56">
        <v>2</v>
      </c>
    </row>
    <row r="10" spans="1:11" x14ac:dyDescent="0.2">
      <c r="A10" s="52" t="s">
        <v>12</v>
      </c>
      <c r="B10" s="52">
        <v>7202158396</v>
      </c>
      <c r="C10" s="52">
        <v>3002906325</v>
      </c>
      <c r="D10" s="53">
        <v>374</v>
      </c>
      <c r="E10" s="54"/>
      <c r="F10" s="63"/>
      <c r="G10" s="57"/>
    </row>
    <row r="11" spans="1:11" x14ac:dyDescent="0.2">
      <c r="A11" s="44" t="s">
        <v>13</v>
      </c>
      <c r="B11" s="44">
        <v>7005723073</v>
      </c>
      <c r="C11" s="44">
        <v>3002906806</v>
      </c>
      <c r="D11" s="46">
        <v>1944</v>
      </c>
      <c r="E11" s="51">
        <v>0.2</v>
      </c>
      <c r="F11" s="62" t="s">
        <v>10</v>
      </c>
      <c r="G11" s="56">
        <v>2</v>
      </c>
    </row>
    <row r="12" spans="1:11" x14ac:dyDescent="0.2">
      <c r="A12" s="44" t="s">
        <v>14</v>
      </c>
      <c r="B12" s="44">
        <v>7009098124</v>
      </c>
      <c r="C12" s="44">
        <v>3003388708</v>
      </c>
      <c r="D12" s="46">
        <v>5180</v>
      </c>
      <c r="E12" s="51">
        <v>0.1</v>
      </c>
      <c r="F12" s="62"/>
      <c r="G12" s="56">
        <v>1</v>
      </c>
    </row>
    <row r="13" spans="1:11" x14ac:dyDescent="0.2">
      <c r="A13" s="44" t="s">
        <v>14</v>
      </c>
      <c r="B13" s="44">
        <v>7009098124</v>
      </c>
      <c r="C13" s="44">
        <v>3010494037</v>
      </c>
      <c r="D13" s="46">
        <v>10795</v>
      </c>
      <c r="E13" s="51">
        <v>0.1</v>
      </c>
      <c r="F13" s="62"/>
      <c r="G13" s="56">
        <v>1</v>
      </c>
    </row>
    <row r="14" spans="1:11" x14ac:dyDescent="0.2">
      <c r="A14" s="44" t="s">
        <v>15</v>
      </c>
      <c r="B14" s="44">
        <v>7005719624</v>
      </c>
      <c r="C14" s="44">
        <v>3001268572</v>
      </c>
      <c r="D14" s="46">
        <v>2990</v>
      </c>
      <c r="E14" s="51">
        <v>0.1</v>
      </c>
      <c r="F14" s="62"/>
      <c r="G14" s="56">
        <v>1</v>
      </c>
      <c r="K14" s="9"/>
    </row>
    <row r="15" spans="1:11" x14ac:dyDescent="0.2">
      <c r="A15" s="44" t="s">
        <v>16</v>
      </c>
      <c r="B15" s="44">
        <v>7005623640</v>
      </c>
      <c r="C15" s="44">
        <v>3002176022</v>
      </c>
      <c r="D15" s="46">
        <v>6384</v>
      </c>
      <c r="E15" s="59">
        <v>0.15</v>
      </c>
      <c r="F15" s="62"/>
      <c r="G15" s="56">
        <v>2</v>
      </c>
    </row>
    <row r="16" spans="1:11" x14ac:dyDescent="0.2">
      <c r="A16" s="52" t="s">
        <v>17</v>
      </c>
      <c r="B16" s="52">
        <v>7202048247</v>
      </c>
      <c r="C16" s="52">
        <v>3003586967</v>
      </c>
      <c r="D16" s="53">
        <v>162</v>
      </c>
      <c r="E16" s="54"/>
      <c r="F16" s="63"/>
      <c r="G16" s="57"/>
    </row>
    <row r="17" spans="1:10" x14ac:dyDescent="0.2">
      <c r="A17" s="52" t="s">
        <v>17</v>
      </c>
      <c r="B17" s="52">
        <v>7201379356</v>
      </c>
      <c r="C17" s="52">
        <v>3001450164</v>
      </c>
      <c r="D17" s="53"/>
      <c r="E17" s="54"/>
      <c r="F17" s="63"/>
      <c r="G17" s="57"/>
    </row>
    <row r="18" spans="1:10" ht="12" customHeight="1" x14ac:dyDescent="0.2">
      <c r="A18" s="52" t="s">
        <v>17</v>
      </c>
      <c r="B18" s="52">
        <v>7202048247</v>
      </c>
      <c r="C18" s="52">
        <v>3000881551</v>
      </c>
      <c r="D18" s="53">
        <v>1417</v>
      </c>
      <c r="E18" s="54"/>
      <c r="F18" s="63"/>
      <c r="G18" s="57"/>
      <c r="J18" s="14"/>
    </row>
    <row r="19" spans="1:10" ht="12" customHeight="1" x14ac:dyDescent="0.2">
      <c r="A19" s="44" t="s">
        <v>18</v>
      </c>
      <c r="B19" s="44">
        <v>7005634342</v>
      </c>
      <c r="C19" s="44">
        <v>3002906805</v>
      </c>
      <c r="D19" s="46">
        <v>2460</v>
      </c>
      <c r="E19" s="59">
        <v>0.2</v>
      </c>
      <c r="F19" s="62" t="s">
        <v>10</v>
      </c>
      <c r="G19" s="56">
        <v>2</v>
      </c>
      <c r="J19" s="14"/>
    </row>
    <row r="20" spans="1:10" ht="12" customHeight="1" x14ac:dyDescent="0.2">
      <c r="A20" s="44" t="s">
        <v>19</v>
      </c>
      <c r="B20" s="44">
        <v>7000047224</v>
      </c>
      <c r="C20" s="44">
        <v>3001450247</v>
      </c>
      <c r="D20" s="46">
        <v>3574</v>
      </c>
      <c r="E20" s="51">
        <v>0.1</v>
      </c>
      <c r="F20" s="62"/>
      <c r="G20" s="56">
        <v>1</v>
      </c>
      <c r="J20" s="14"/>
    </row>
    <row r="21" spans="1:10" ht="14.25" customHeight="1" x14ac:dyDescent="0.2">
      <c r="A21" s="52" t="s">
        <v>20</v>
      </c>
      <c r="B21" s="52">
        <v>7202360028</v>
      </c>
      <c r="C21" s="52">
        <v>3012107385</v>
      </c>
      <c r="D21" s="53">
        <v>197</v>
      </c>
      <c r="E21" s="54"/>
      <c r="F21" s="63"/>
      <c r="G21" s="57"/>
      <c r="J21" s="14"/>
    </row>
    <row r="22" spans="1:10" ht="14.25" customHeight="1" x14ac:dyDescent="0.2">
      <c r="A22" s="45" t="s">
        <v>21</v>
      </c>
      <c r="B22" s="44">
        <v>7005728190</v>
      </c>
      <c r="C22" s="44">
        <v>3002906524</v>
      </c>
      <c r="D22" s="46">
        <v>3494</v>
      </c>
      <c r="E22" s="51">
        <v>0.1</v>
      </c>
      <c r="F22" s="62" t="s">
        <v>10</v>
      </c>
      <c r="G22" s="56">
        <v>1</v>
      </c>
      <c r="J22" s="14"/>
    </row>
    <row r="23" spans="1:10" ht="14.25" customHeight="1" x14ac:dyDescent="0.2">
      <c r="A23" s="45" t="s">
        <v>22</v>
      </c>
      <c r="B23" s="44">
        <v>7010498067</v>
      </c>
      <c r="C23" s="44">
        <v>3013027271</v>
      </c>
      <c r="D23" s="46">
        <v>2480</v>
      </c>
      <c r="E23" s="51">
        <v>0.1</v>
      </c>
      <c r="F23" s="62"/>
      <c r="G23" s="56">
        <v>2</v>
      </c>
      <c r="J23" s="14"/>
    </row>
    <row r="24" spans="1:10" ht="14.25" customHeight="1" x14ac:dyDescent="0.2">
      <c r="A24" s="45" t="s">
        <v>23</v>
      </c>
      <c r="B24" s="44">
        <v>7005590706</v>
      </c>
      <c r="C24" s="44">
        <v>3006036124</v>
      </c>
      <c r="D24" s="46">
        <v>98</v>
      </c>
      <c r="E24" s="51">
        <v>0.1</v>
      </c>
      <c r="F24" s="62"/>
      <c r="G24" s="56">
        <v>1</v>
      </c>
      <c r="J24" s="14"/>
    </row>
    <row r="25" spans="1:10" ht="14.25" customHeight="1" x14ac:dyDescent="0.2">
      <c r="A25" s="45" t="s">
        <v>23</v>
      </c>
      <c r="B25" s="44">
        <v>7005590706</v>
      </c>
      <c r="C25" s="44">
        <v>3006066868</v>
      </c>
      <c r="D25" s="46"/>
      <c r="E25" s="51">
        <v>0.1</v>
      </c>
      <c r="F25" s="62"/>
      <c r="G25" s="56">
        <v>1</v>
      </c>
    </row>
    <row r="26" spans="1:10" ht="14.25" customHeight="1" x14ac:dyDescent="0.2">
      <c r="A26" s="45" t="s">
        <v>23</v>
      </c>
      <c r="B26" s="44">
        <v>7005590706</v>
      </c>
      <c r="C26" s="44">
        <v>3012116454</v>
      </c>
      <c r="D26" s="46"/>
      <c r="E26" s="51">
        <v>0.1</v>
      </c>
      <c r="F26" s="62"/>
      <c r="G26" s="56">
        <v>1</v>
      </c>
    </row>
    <row r="27" spans="1:10" ht="14.25" customHeight="1" x14ac:dyDescent="0.2">
      <c r="A27" s="45" t="s">
        <v>24</v>
      </c>
      <c r="B27" s="44">
        <v>7005707573</v>
      </c>
      <c r="C27" s="44">
        <v>3004831003</v>
      </c>
      <c r="D27" s="46"/>
      <c r="E27" s="51">
        <v>0.1</v>
      </c>
      <c r="F27" s="62"/>
      <c r="G27" s="56">
        <v>1</v>
      </c>
    </row>
    <row r="28" spans="1:10" ht="14.25" customHeight="1" x14ac:dyDescent="0.2">
      <c r="A28" s="45" t="s">
        <v>24</v>
      </c>
      <c r="B28" s="44">
        <v>7005707573</v>
      </c>
      <c r="C28" s="44">
        <v>3004831005</v>
      </c>
      <c r="D28" s="46"/>
      <c r="E28" s="51">
        <v>0.1</v>
      </c>
      <c r="F28" s="62"/>
      <c r="G28" s="56">
        <v>1</v>
      </c>
    </row>
    <row r="29" spans="1:10" ht="14.25" customHeight="1" x14ac:dyDescent="0.2">
      <c r="A29" s="45" t="s">
        <v>24</v>
      </c>
      <c r="B29" s="44">
        <v>7005707573</v>
      </c>
      <c r="C29" s="44">
        <v>3006425617</v>
      </c>
      <c r="D29" s="46"/>
      <c r="E29" s="51">
        <v>0.1</v>
      </c>
      <c r="F29" s="62"/>
      <c r="G29" s="56">
        <v>1</v>
      </c>
    </row>
    <row r="30" spans="1:10" x14ac:dyDescent="0.2">
      <c r="A30" s="45" t="s">
        <v>25</v>
      </c>
      <c r="B30" s="44">
        <v>7005530163</v>
      </c>
      <c r="C30" s="44">
        <v>3003562994</v>
      </c>
      <c r="D30" s="46">
        <v>4242</v>
      </c>
      <c r="E30" s="59">
        <v>0.2</v>
      </c>
      <c r="F30" s="62"/>
      <c r="G30" s="56">
        <v>2</v>
      </c>
    </row>
    <row r="31" spans="1:10" x14ac:dyDescent="0.2">
      <c r="A31" s="44" t="s">
        <v>26</v>
      </c>
      <c r="B31" s="44">
        <v>7202402563</v>
      </c>
      <c r="C31" s="44">
        <v>3006700739</v>
      </c>
      <c r="D31" s="46">
        <v>4702</v>
      </c>
      <c r="E31" s="59">
        <v>0.15</v>
      </c>
      <c r="F31" s="62"/>
      <c r="G31" s="56">
        <v>1</v>
      </c>
    </row>
    <row r="32" spans="1:10" x14ac:dyDescent="0.2">
      <c r="A32" s="10" t="s">
        <v>27</v>
      </c>
      <c r="B32" s="10">
        <v>7202760807</v>
      </c>
      <c r="C32" s="10">
        <v>3012940288</v>
      </c>
      <c r="D32" s="48">
        <v>2501</v>
      </c>
      <c r="E32" s="59">
        <v>0.15</v>
      </c>
      <c r="F32" s="64"/>
      <c r="G32" s="58">
        <v>2</v>
      </c>
    </row>
    <row r="33" spans="1:7" x14ac:dyDescent="0.2">
      <c r="A33" s="10" t="s">
        <v>28</v>
      </c>
      <c r="B33" s="10">
        <v>7202482231</v>
      </c>
      <c r="C33" s="10">
        <v>3004607095</v>
      </c>
      <c r="D33" s="48">
        <v>432</v>
      </c>
      <c r="E33" s="51">
        <v>0.1</v>
      </c>
      <c r="F33" s="64"/>
      <c r="G33" s="58">
        <v>2</v>
      </c>
    </row>
    <row r="34" spans="1:7" x14ac:dyDescent="0.2">
      <c r="A34" s="10" t="s">
        <v>28</v>
      </c>
      <c r="B34" s="10">
        <v>7202482231</v>
      </c>
      <c r="C34" s="49">
        <v>3005534144</v>
      </c>
      <c r="D34" s="48">
        <v>216</v>
      </c>
      <c r="E34" s="51">
        <v>0.1</v>
      </c>
      <c r="F34" s="64"/>
      <c r="G34" s="58">
        <v>2</v>
      </c>
    </row>
    <row r="35" spans="1:7" ht="13.5" thickBot="1" x14ac:dyDescent="0.25">
      <c r="C35" s="20" t="s">
        <v>29</v>
      </c>
      <c r="D35" s="21">
        <f>SUM(D3:D34)</f>
        <v>71649</v>
      </c>
      <c r="E35" s="22"/>
      <c r="F35" s="23"/>
      <c r="G35" s="23"/>
    </row>
    <row r="36" spans="1:7" ht="13.5" thickTop="1" x14ac:dyDescent="0.2"/>
  </sheetData>
  <mergeCells count="1">
    <mergeCell ref="D1:F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F1AB-633F-4ECC-9C88-3DD5719B021D}">
  <dimension ref="A1:K36"/>
  <sheetViews>
    <sheetView workbookViewId="0">
      <selection activeCell="I31" sqref="I31"/>
    </sheetView>
  </sheetViews>
  <sheetFormatPr defaultRowHeight="12.75" x14ac:dyDescent="0.2"/>
  <cols>
    <col min="1" max="1" width="28.85546875" bestFit="1" customWidth="1"/>
    <col min="2" max="2" width="11.140625" bestFit="1" customWidth="1"/>
    <col min="3" max="3" width="14.140625" bestFit="1" customWidth="1"/>
    <col min="4" max="4" width="10.140625" bestFit="1" customWidth="1"/>
    <col min="5" max="5" width="11.5703125" customWidth="1"/>
    <col min="6" max="6" width="13.140625" customWidth="1"/>
    <col min="7" max="7" width="7" bestFit="1" customWidth="1"/>
  </cols>
  <sheetData>
    <row r="1" spans="1:11" ht="16.5" thickTop="1" x14ac:dyDescent="0.25">
      <c r="A1" s="24"/>
      <c r="B1" s="25"/>
      <c r="C1" s="25"/>
      <c r="D1" s="139">
        <v>44682</v>
      </c>
      <c r="E1" s="140"/>
      <c r="F1" s="141"/>
    </row>
    <row r="2" spans="1:11" ht="30.75" customHeight="1" x14ac:dyDescent="0.2">
      <c r="A2" s="4" t="s">
        <v>0</v>
      </c>
      <c r="B2" s="3" t="s">
        <v>1</v>
      </c>
      <c r="C2" s="3" t="s">
        <v>2</v>
      </c>
      <c r="D2" s="3" t="s">
        <v>3</v>
      </c>
      <c r="E2" s="61" t="s">
        <v>4</v>
      </c>
      <c r="F2" s="60" t="s">
        <v>5</v>
      </c>
      <c r="G2" s="5" t="s">
        <v>6</v>
      </c>
    </row>
    <row r="3" spans="1:11" x14ac:dyDescent="0.2">
      <c r="A3" s="10" t="s">
        <v>7</v>
      </c>
      <c r="B3" s="10">
        <v>7005713839</v>
      </c>
      <c r="C3" s="10">
        <v>3003858507</v>
      </c>
      <c r="D3" s="48">
        <v>2478</v>
      </c>
      <c r="E3" s="66">
        <v>0.1</v>
      </c>
      <c r="F3" s="62"/>
      <c r="G3" s="56">
        <v>2</v>
      </c>
    </row>
    <row r="4" spans="1:11" x14ac:dyDescent="0.2">
      <c r="A4" s="10" t="s">
        <v>8</v>
      </c>
      <c r="B4" s="10">
        <v>7008528502</v>
      </c>
      <c r="C4" s="10">
        <v>3001084033</v>
      </c>
      <c r="D4" s="48">
        <v>5504</v>
      </c>
      <c r="E4" s="66">
        <v>0.1</v>
      </c>
      <c r="F4" s="62"/>
      <c r="G4" s="56">
        <v>1</v>
      </c>
    </row>
    <row r="5" spans="1:11" x14ac:dyDescent="0.2">
      <c r="A5" s="10" t="s">
        <v>9</v>
      </c>
      <c r="B5" s="10">
        <v>7200634170</v>
      </c>
      <c r="C5" s="10">
        <v>3012153634</v>
      </c>
      <c r="D5" s="48">
        <v>1523</v>
      </c>
      <c r="E5" s="66">
        <v>0.1</v>
      </c>
      <c r="F5" s="62"/>
      <c r="G5" s="56">
        <v>2</v>
      </c>
    </row>
    <row r="6" spans="1:11" x14ac:dyDescent="0.2">
      <c r="A6" s="10" t="s">
        <v>9</v>
      </c>
      <c r="B6" s="10">
        <v>7005369021</v>
      </c>
      <c r="C6" s="10">
        <v>3011373971</v>
      </c>
      <c r="D6" s="48">
        <v>635</v>
      </c>
      <c r="E6" s="66">
        <v>0.1</v>
      </c>
      <c r="F6" s="62"/>
      <c r="G6" s="56">
        <v>2</v>
      </c>
    </row>
    <row r="7" spans="1:11" x14ac:dyDescent="0.2">
      <c r="A7" s="10" t="s">
        <v>11</v>
      </c>
      <c r="B7" s="10">
        <v>7005492088</v>
      </c>
      <c r="C7" s="10">
        <v>3001449459</v>
      </c>
      <c r="D7" s="48">
        <v>700</v>
      </c>
      <c r="E7" s="66">
        <v>0.1</v>
      </c>
      <c r="F7" s="62"/>
      <c r="G7" s="56">
        <v>2</v>
      </c>
    </row>
    <row r="8" spans="1:11" x14ac:dyDescent="0.2">
      <c r="A8" s="10" t="s">
        <v>11</v>
      </c>
      <c r="B8" s="10">
        <v>7005492088</v>
      </c>
      <c r="C8" s="10">
        <v>3011504476</v>
      </c>
      <c r="D8" s="48">
        <v>1840</v>
      </c>
      <c r="E8" s="66">
        <v>0.1</v>
      </c>
      <c r="F8" s="62"/>
      <c r="G8" s="56">
        <v>2</v>
      </c>
    </row>
    <row r="9" spans="1:11" x14ac:dyDescent="0.2">
      <c r="A9" s="10" t="s">
        <v>11</v>
      </c>
      <c r="B9" s="10">
        <v>7005492088</v>
      </c>
      <c r="C9" s="10">
        <v>3014340686</v>
      </c>
      <c r="D9" s="48">
        <v>687</v>
      </c>
      <c r="E9" s="66">
        <v>0.1</v>
      </c>
      <c r="F9" s="62"/>
      <c r="G9" s="56">
        <v>2</v>
      </c>
    </row>
    <row r="10" spans="1:11" x14ac:dyDescent="0.2">
      <c r="A10" s="71" t="s">
        <v>12</v>
      </c>
      <c r="B10" s="71">
        <v>7202158396</v>
      </c>
      <c r="C10" s="71">
        <v>3002906325</v>
      </c>
      <c r="D10" s="72">
        <v>351</v>
      </c>
      <c r="E10" s="73"/>
      <c r="F10" s="74"/>
      <c r="G10" s="75"/>
    </row>
    <row r="11" spans="1:11" x14ac:dyDescent="0.2">
      <c r="A11" s="10" t="s">
        <v>13</v>
      </c>
      <c r="B11" s="10">
        <v>7005723073</v>
      </c>
      <c r="C11" s="10">
        <v>3002906806</v>
      </c>
      <c r="D11" s="48">
        <v>2110</v>
      </c>
      <c r="E11" s="66">
        <v>0.2</v>
      </c>
      <c r="F11" s="62"/>
      <c r="G11" s="56">
        <v>2</v>
      </c>
    </row>
    <row r="12" spans="1:11" x14ac:dyDescent="0.2">
      <c r="A12" s="10" t="s">
        <v>14</v>
      </c>
      <c r="B12" s="10">
        <v>7009098124</v>
      </c>
      <c r="C12" s="10">
        <v>3003388708</v>
      </c>
      <c r="D12" s="48">
        <v>4998</v>
      </c>
      <c r="E12" s="66">
        <v>0.1</v>
      </c>
      <c r="F12" s="62"/>
      <c r="G12" s="56">
        <v>1</v>
      </c>
    </row>
    <row r="13" spans="1:11" x14ac:dyDescent="0.2">
      <c r="A13" s="10" t="s">
        <v>14</v>
      </c>
      <c r="B13" s="10">
        <v>7009098124</v>
      </c>
      <c r="C13" s="10">
        <v>3010494037</v>
      </c>
      <c r="D13" s="48">
        <v>9531</v>
      </c>
      <c r="E13" s="66">
        <v>0.1</v>
      </c>
      <c r="F13" s="62"/>
      <c r="G13" s="56">
        <v>1</v>
      </c>
    </row>
    <row r="14" spans="1:11" x14ac:dyDescent="0.2">
      <c r="A14" s="10" t="s">
        <v>15</v>
      </c>
      <c r="B14" s="10">
        <v>7005719624</v>
      </c>
      <c r="C14" s="10">
        <v>3001268572</v>
      </c>
      <c r="D14" s="48">
        <v>2325</v>
      </c>
      <c r="E14" s="66">
        <v>0.1</v>
      </c>
      <c r="F14" s="62"/>
      <c r="G14" s="56">
        <v>1</v>
      </c>
      <c r="K14" s="9"/>
    </row>
    <row r="15" spans="1:11" x14ac:dyDescent="0.2">
      <c r="A15" s="10" t="s">
        <v>16</v>
      </c>
      <c r="B15" s="10">
        <v>7005623640</v>
      </c>
      <c r="C15" s="10">
        <v>3002176022</v>
      </c>
      <c r="D15" s="48">
        <v>5624</v>
      </c>
      <c r="E15" s="67">
        <v>0.15</v>
      </c>
      <c r="F15" s="62"/>
      <c r="G15" s="56">
        <v>2</v>
      </c>
    </row>
    <row r="16" spans="1:11" x14ac:dyDescent="0.2">
      <c r="A16" s="71" t="s">
        <v>17</v>
      </c>
      <c r="B16" s="71">
        <v>7202048247</v>
      </c>
      <c r="C16" s="71">
        <v>3003586967</v>
      </c>
      <c r="D16" s="72">
        <v>143</v>
      </c>
      <c r="E16" s="73"/>
      <c r="F16" s="74"/>
      <c r="G16" s="75"/>
    </row>
    <row r="17" spans="1:10" hidden="1" x14ac:dyDescent="0.2">
      <c r="A17" s="71" t="s">
        <v>17</v>
      </c>
      <c r="B17" s="71">
        <v>7201379356</v>
      </c>
      <c r="C17" s="71">
        <v>3001450164</v>
      </c>
      <c r="D17" s="72"/>
      <c r="E17" s="73"/>
      <c r="F17" s="74"/>
      <c r="G17" s="75"/>
    </row>
    <row r="18" spans="1:10" ht="12" customHeight="1" x14ac:dyDescent="0.2">
      <c r="A18" s="71" t="s">
        <v>17</v>
      </c>
      <c r="B18" s="71">
        <v>7202048247</v>
      </c>
      <c r="C18" s="71">
        <v>3000881551</v>
      </c>
      <c r="D18" s="72">
        <v>1294</v>
      </c>
      <c r="E18" s="73"/>
      <c r="F18" s="74"/>
      <c r="G18" s="75"/>
      <c r="J18" s="14"/>
    </row>
    <row r="19" spans="1:10" ht="12" customHeight="1" x14ac:dyDescent="0.2">
      <c r="A19" s="10" t="s">
        <v>18</v>
      </c>
      <c r="B19" s="10">
        <v>7005634342</v>
      </c>
      <c r="C19" s="10">
        <v>3002906805</v>
      </c>
      <c r="D19" s="48">
        <v>2540</v>
      </c>
      <c r="E19" s="67">
        <v>0.2</v>
      </c>
      <c r="F19" s="62"/>
      <c r="G19" s="56">
        <v>2</v>
      </c>
      <c r="J19" s="14"/>
    </row>
    <row r="20" spans="1:10" ht="12" customHeight="1" x14ac:dyDescent="0.2">
      <c r="A20" s="10" t="s">
        <v>19</v>
      </c>
      <c r="B20" s="10">
        <v>7000047224</v>
      </c>
      <c r="C20" s="10">
        <v>3001450247</v>
      </c>
      <c r="D20" s="48">
        <v>2361</v>
      </c>
      <c r="E20" s="66">
        <v>0.1</v>
      </c>
      <c r="F20" s="62"/>
      <c r="G20" s="56">
        <v>1</v>
      </c>
      <c r="J20" s="14"/>
    </row>
    <row r="21" spans="1:10" ht="14.25" customHeight="1" x14ac:dyDescent="0.2">
      <c r="A21" s="71" t="s">
        <v>20</v>
      </c>
      <c r="B21" s="71">
        <v>7202360028</v>
      </c>
      <c r="C21" s="71">
        <v>3012107385</v>
      </c>
      <c r="D21" s="72">
        <v>429</v>
      </c>
      <c r="E21" s="73"/>
      <c r="F21" s="74"/>
      <c r="G21" s="75"/>
      <c r="J21" s="14"/>
    </row>
    <row r="22" spans="1:10" ht="14.25" hidden="1" customHeight="1" x14ac:dyDescent="0.2">
      <c r="A22" s="68" t="s">
        <v>21</v>
      </c>
      <c r="B22" s="10">
        <v>7005728190</v>
      </c>
      <c r="C22" s="10">
        <v>3002906524</v>
      </c>
      <c r="D22" s="48"/>
      <c r="E22" s="66">
        <v>0.1</v>
      </c>
      <c r="F22" s="62"/>
      <c r="G22" s="56">
        <v>1</v>
      </c>
      <c r="J22" s="14"/>
    </row>
    <row r="23" spans="1:10" ht="14.25" customHeight="1" x14ac:dyDescent="0.2">
      <c r="A23" s="68" t="s">
        <v>22</v>
      </c>
      <c r="B23" s="10">
        <v>7010498067</v>
      </c>
      <c r="C23" s="10">
        <v>3013027271</v>
      </c>
      <c r="D23" s="48">
        <v>2120</v>
      </c>
      <c r="E23" s="66">
        <v>0.1</v>
      </c>
      <c r="F23" s="62"/>
      <c r="G23" s="56">
        <v>2</v>
      </c>
      <c r="J23" s="14"/>
    </row>
    <row r="24" spans="1:10" ht="14.25" customHeight="1" x14ac:dyDescent="0.2">
      <c r="A24" s="68" t="s">
        <v>23</v>
      </c>
      <c r="B24" s="10">
        <v>7005590706</v>
      </c>
      <c r="C24" s="10">
        <v>3006036124</v>
      </c>
      <c r="D24" s="48">
        <v>67</v>
      </c>
      <c r="E24" s="66">
        <v>0.1</v>
      </c>
      <c r="F24" s="62"/>
      <c r="G24" s="56">
        <v>1</v>
      </c>
      <c r="J24" s="14"/>
    </row>
    <row r="25" spans="1:10" ht="14.25" hidden="1" customHeight="1" x14ac:dyDescent="0.2">
      <c r="A25" s="68" t="s">
        <v>23</v>
      </c>
      <c r="B25" s="10">
        <v>7005590706</v>
      </c>
      <c r="C25" s="10">
        <v>3006066868</v>
      </c>
      <c r="D25" s="48"/>
      <c r="E25" s="66">
        <v>0.1</v>
      </c>
      <c r="F25" s="62"/>
      <c r="G25" s="56">
        <v>1</v>
      </c>
    </row>
    <row r="26" spans="1:10" ht="14.25" hidden="1" customHeight="1" x14ac:dyDescent="0.2">
      <c r="A26" s="68" t="s">
        <v>23</v>
      </c>
      <c r="B26" s="10">
        <v>7005590706</v>
      </c>
      <c r="C26" s="10">
        <v>3012116454</v>
      </c>
      <c r="D26" s="48"/>
      <c r="E26" s="66">
        <v>0.1</v>
      </c>
      <c r="F26" s="62"/>
      <c r="G26" s="56">
        <v>1</v>
      </c>
    </row>
    <row r="27" spans="1:10" ht="14.25" hidden="1" customHeight="1" x14ac:dyDescent="0.2">
      <c r="A27" s="68" t="s">
        <v>24</v>
      </c>
      <c r="B27" s="10">
        <v>7005707573</v>
      </c>
      <c r="C27" s="10">
        <v>3004831003</v>
      </c>
      <c r="D27" s="48"/>
      <c r="E27" s="66">
        <v>0.1</v>
      </c>
      <c r="F27" s="62"/>
      <c r="G27" s="56">
        <v>1</v>
      </c>
    </row>
    <row r="28" spans="1:10" ht="14.25" hidden="1" customHeight="1" x14ac:dyDescent="0.2">
      <c r="A28" s="68" t="s">
        <v>24</v>
      </c>
      <c r="B28" s="10">
        <v>7005707573</v>
      </c>
      <c r="C28" s="10">
        <v>3004831005</v>
      </c>
      <c r="D28" s="48"/>
      <c r="E28" s="66">
        <v>0.1</v>
      </c>
      <c r="F28" s="62"/>
      <c r="G28" s="56">
        <v>1</v>
      </c>
    </row>
    <row r="29" spans="1:10" ht="14.25" hidden="1" customHeight="1" x14ac:dyDescent="0.2">
      <c r="A29" s="68" t="s">
        <v>24</v>
      </c>
      <c r="B29" s="10">
        <v>7005707573</v>
      </c>
      <c r="C29" s="10">
        <v>3006425617</v>
      </c>
      <c r="D29" s="48"/>
      <c r="E29" s="66">
        <v>0.1</v>
      </c>
      <c r="F29" s="62"/>
      <c r="G29" s="56">
        <v>1</v>
      </c>
    </row>
    <row r="30" spans="1:10" x14ac:dyDescent="0.2">
      <c r="A30" s="68" t="s">
        <v>25</v>
      </c>
      <c r="B30" s="10">
        <v>7005530163</v>
      </c>
      <c r="C30" s="10">
        <v>3003562994</v>
      </c>
      <c r="D30" s="48">
        <v>4374</v>
      </c>
      <c r="E30" s="67">
        <v>0.2</v>
      </c>
      <c r="F30" s="64"/>
      <c r="G30" s="58">
        <v>2</v>
      </c>
    </row>
    <row r="31" spans="1:10" x14ac:dyDescent="0.2">
      <c r="A31" s="10" t="s">
        <v>26</v>
      </c>
      <c r="B31" s="10">
        <v>7202402563</v>
      </c>
      <c r="C31" s="10">
        <v>3006700739</v>
      </c>
      <c r="D31" s="48">
        <v>4172</v>
      </c>
      <c r="E31" s="67">
        <v>0.15</v>
      </c>
      <c r="F31" s="64"/>
      <c r="G31" s="58">
        <v>1</v>
      </c>
    </row>
    <row r="32" spans="1:10" x14ac:dyDescent="0.2">
      <c r="A32" s="10" t="s">
        <v>27</v>
      </c>
      <c r="B32" s="10">
        <v>7202760807</v>
      </c>
      <c r="C32" s="10">
        <v>3012940288</v>
      </c>
      <c r="D32" s="48">
        <v>1624</v>
      </c>
      <c r="E32" s="67">
        <v>0.15</v>
      </c>
      <c r="F32" s="64"/>
      <c r="G32" s="58">
        <v>2</v>
      </c>
    </row>
    <row r="33" spans="1:7" x14ac:dyDescent="0.2">
      <c r="A33" s="10" t="s">
        <v>28</v>
      </c>
      <c r="B33" s="10">
        <v>7202482231</v>
      </c>
      <c r="C33" s="10">
        <v>3004607095</v>
      </c>
      <c r="D33" s="48">
        <v>381</v>
      </c>
      <c r="E33" s="66">
        <v>0.1</v>
      </c>
      <c r="F33" s="64"/>
      <c r="G33" s="58">
        <v>2</v>
      </c>
    </row>
    <row r="34" spans="1:7" x14ac:dyDescent="0.2">
      <c r="A34" s="10" t="s">
        <v>28</v>
      </c>
      <c r="B34" s="10">
        <v>7202482231</v>
      </c>
      <c r="C34" s="49">
        <v>3005534144</v>
      </c>
      <c r="D34" s="48">
        <v>191</v>
      </c>
      <c r="E34" s="66">
        <v>0.1</v>
      </c>
      <c r="F34" s="64"/>
      <c r="G34" s="58">
        <v>2</v>
      </c>
    </row>
    <row r="35" spans="1:7" ht="13.5" thickBot="1" x14ac:dyDescent="0.25">
      <c r="C35" s="20" t="s">
        <v>29</v>
      </c>
      <c r="D35" s="21">
        <f>SUM(D3:D34)</f>
        <v>58002</v>
      </c>
      <c r="E35" s="22"/>
      <c r="F35" s="23"/>
      <c r="G35" s="23"/>
    </row>
    <row r="36" spans="1:7" ht="13.5" thickTop="1" x14ac:dyDescent="0.2"/>
  </sheetData>
  <mergeCells count="1">
    <mergeCell ref="D1:F1"/>
  </mergeCells>
  <pageMargins left="0.51181102362204722" right="0.51181102362204722" top="0.78740157480314965" bottom="0.78740157480314965" header="0.31496062992125984" footer="0.31496062992125984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814DD-9C9C-4294-B1E3-419B0F1D8948}">
  <dimension ref="A1:K47"/>
  <sheetViews>
    <sheetView workbookViewId="0">
      <pane ySplit="2" topLeftCell="A9" activePane="bottomLeft" state="frozen"/>
      <selection pane="bottomLeft" activeCell="J33" sqref="J33"/>
    </sheetView>
  </sheetViews>
  <sheetFormatPr defaultRowHeight="12.75" x14ac:dyDescent="0.2"/>
  <cols>
    <col min="1" max="1" width="32.5703125" bestFit="1" customWidth="1"/>
    <col min="2" max="2" width="11.140625" bestFit="1" customWidth="1"/>
    <col min="3" max="3" width="14.140625" bestFit="1" customWidth="1"/>
    <col min="4" max="4" width="10.140625" bestFit="1" customWidth="1"/>
    <col min="5" max="5" width="11.5703125" customWidth="1"/>
    <col min="6" max="6" width="13.140625" customWidth="1"/>
    <col min="7" max="7" width="7" bestFit="1" customWidth="1"/>
  </cols>
  <sheetData>
    <row r="1" spans="1:11" ht="16.5" thickTop="1" x14ac:dyDescent="0.25">
      <c r="A1" s="24"/>
      <c r="B1" s="25"/>
      <c r="C1" s="25"/>
      <c r="D1" s="139">
        <v>44713</v>
      </c>
      <c r="E1" s="140"/>
      <c r="F1" s="141"/>
    </row>
    <row r="2" spans="1:11" ht="30.75" customHeight="1" x14ac:dyDescent="0.2">
      <c r="A2" s="4" t="s">
        <v>0</v>
      </c>
      <c r="B2" s="3" t="s">
        <v>1</v>
      </c>
      <c r="C2" s="3" t="s">
        <v>2</v>
      </c>
      <c r="D2" s="3" t="s">
        <v>3</v>
      </c>
      <c r="E2" s="61" t="s">
        <v>4</v>
      </c>
      <c r="F2" s="60" t="s">
        <v>5</v>
      </c>
      <c r="G2" s="5" t="s">
        <v>6</v>
      </c>
    </row>
    <row r="3" spans="1:11" x14ac:dyDescent="0.2">
      <c r="A3" s="10" t="s">
        <v>7</v>
      </c>
      <c r="B3" s="10">
        <v>7005713839</v>
      </c>
      <c r="C3" s="10">
        <v>3003858507</v>
      </c>
      <c r="D3" s="48">
        <v>817</v>
      </c>
      <c r="E3" s="66">
        <v>0.1</v>
      </c>
      <c r="F3" s="62"/>
      <c r="G3" s="56">
        <v>2</v>
      </c>
    </row>
    <row r="4" spans="1:11" x14ac:dyDescent="0.2">
      <c r="A4" s="10" t="s">
        <v>8</v>
      </c>
      <c r="B4" s="10">
        <v>7008528502</v>
      </c>
      <c r="C4" s="10">
        <v>3001084033</v>
      </c>
      <c r="D4" s="48">
        <v>1160</v>
      </c>
      <c r="E4" s="66">
        <v>0.1</v>
      </c>
      <c r="F4" s="62"/>
      <c r="G4" s="56">
        <v>1</v>
      </c>
    </row>
    <row r="5" spans="1:11" x14ac:dyDescent="0.2">
      <c r="A5" s="10" t="s">
        <v>9</v>
      </c>
      <c r="B5" s="10">
        <v>7200634170</v>
      </c>
      <c r="C5" s="10">
        <v>3012153634</v>
      </c>
      <c r="D5" s="48">
        <v>1160</v>
      </c>
      <c r="E5" s="66">
        <v>0.1</v>
      </c>
      <c r="F5" s="62"/>
      <c r="G5" s="56">
        <v>2</v>
      </c>
    </row>
    <row r="6" spans="1:11" x14ac:dyDescent="0.2">
      <c r="A6" s="10" t="s">
        <v>9</v>
      </c>
      <c r="B6" s="10">
        <v>7005369021</v>
      </c>
      <c r="C6" s="10">
        <v>3011373971</v>
      </c>
      <c r="D6" s="48">
        <v>740</v>
      </c>
      <c r="E6" s="66">
        <v>0.1</v>
      </c>
      <c r="F6" s="62"/>
      <c r="G6" s="56">
        <v>2</v>
      </c>
    </row>
    <row r="7" spans="1:11" x14ac:dyDescent="0.2">
      <c r="A7" s="10" t="s">
        <v>11</v>
      </c>
      <c r="B7" s="10">
        <v>7005492088</v>
      </c>
      <c r="C7" s="10">
        <v>3001449459</v>
      </c>
      <c r="D7" s="48">
        <v>620</v>
      </c>
      <c r="E7" s="66">
        <v>0.1</v>
      </c>
      <c r="F7" s="62"/>
      <c r="G7" s="56">
        <v>2</v>
      </c>
    </row>
    <row r="8" spans="1:11" x14ac:dyDescent="0.2">
      <c r="A8" s="10" t="s">
        <v>11</v>
      </c>
      <c r="B8" s="10">
        <v>7005492088</v>
      </c>
      <c r="C8" s="10">
        <v>3011504476</v>
      </c>
      <c r="D8" s="48">
        <v>1600</v>
      </c>
      <c r="E8" s="66">
        <v>0.1</v>
      </c>
      <c r="F8" s="62"/>
      <c r="G8" s="56">
        <v>2</v>
      </c>
    </row>
    <row r="9" spans="1:11" x14ac:dyDescent="0.2">
      <c r="A9" s="10" t="s">
        <v>11</v>
      </c>
      <c r="B9" s="10">
        <v>7005492088</v>
      </c>
      <c r="C9" s="10">
        <v>3014340686</v>
      </c>
      <c r="D9" s="48">
        <v>1309</v>
      </c>
      <c r="E9" s="66">
        <v>0.1</v>
      </c>
      <c r="F9" s="62"/>
      <c r="G9" s="56">
        <v>2</v>
      </c>
    </row>
    <row r="10" spans="1:11" x14ac:dyDescent="0.2">
      <c r="A10" s="71" t="s">
        <v>12</v>
      </c>
      <c r="B10" s="71">
        <v>7202158396</v>
      </c>
      <c r="C10" s="71">
        <v>3002906325</v>
      </c>
      <c r="D10" s="72">
        <v>413</v>
      </c>
      <c r="E10" s="73"/>
      <c r="F10" s="74"/>
      <c r="G10" s="75"/>
    </row>
    <row r="11" spans="1:11" x14ac:dyDescent="0.2">
      <c r="A11" s="10" t="s">
        <v>13</v>
      </c>
      <c r="B11" s="10">
        <v>7005723073</v>
      </c>
      <c r="C11" s="10">
        <v>3002906806</v>
      </c>
      <c r="D11" s="48">
        <v>2094</v>
      </c>
      <c r="E11" s="67">
        <v>0.2</v>
      </c>
      <c r="F11" s="62"/>
      <c r="G11" s="56">
        <v>2</v>
      </c>
    </row>
    <row r="12" spans="1:11" x14ac:dyDescent="0.2">
      <c r="A12" s="10" t="s">
        <v>14</v>
      </c>
      <c r="B12" s="10">
        <v>7009098124</v>
      </c>
      <c r="C12" s="10">
        <v>3003388708</v>
      </c>
      <c r="D12" s="48">
        <v>4687</v>
      </c>
      <c r="E12" s="66">
        <v>0.1</v>
      </c>
      <c r="F12" s="62"/>
      <c r="G12" s="56">
        <v>1</v>
      </c>
    </row>
    <row r="13" spans="1:11" x14ac:dyDescent="0.2">
      <c r="A13" s="10" t="s">
        <v>14</v>
      </c>
      <c r="B13" s="10">
        <v>7009098124</v>
      </c>
      <c r="C13" s="10">
        <v>3010494037</v>
      </c>
      <c r="D13" s="48">
        <v>10779</v>
      </c>
      <c r="E13" s="66">
        <v>0.1</v>
      </c>
      <c r="F13" s="62"/>
      <c r="G13" s="56">
        <v>1</v>
      </c>
    </row>
    <row r="14" spans="1:11" x14ac:dyDescent="0.2">
      <c r="A14" s="10" t="s">
        <v>15</v>
      </c>
      <c r="B14" s="10">
        <v>7005719624</v>
      </c>
      <c r="C14" s="10">
        <v>3001268572</v>
      </c>
      <c r="D14" s="48">
        <v>1913</v>
      </c>
      <c r="E14" s="66">
        <v>0.1</v>
      </c>
      <c r="F14" s="62"/>
      <c r="G14" s="56">
        <v>1</v>
      </c>
      <c r="K14" s="9"/>
    </row>
    <row r="15" spans="1:11" x14ac:dyDescent="0.2">
      <c r="A15" s="10" t="s">
        <v>16</v>
      </c>
      <c r="B15" s="10">
        <v>7005623640</v>
      </c>
      <c r="C15" s="10">
        <v>3002176022</v>
      </c>
      <c r="D15" s="48">
        <v>5896</v>
      </c>
      <c r="E15" s="67">
        <v>0.15</v>
      </c>
      <c r="F15" s="62"/>
      <c r="G15" s="56">
        <v>2</v>
      </c>
    </row>
    <row r="16" spans="1:11" x14ac:dyDescent="0.2">
      <c r="A16" s="71" t="s">
        <v>17</v>
      </c>
      <c r="B16" s="71">
        <v>7202048247</v>
      </c>
      <c r="C16" s="71">
        <v>3003586967</v>
      </c>
      <c r="D16" s="72">
        <v>162</v>
      </c>
      <c r="E16" s="73"/>
      <c r="F16" s="74"/>
      <c r="G16" s="75"/>
    </row>
    <row r="17" spans="1:10" hidden="1" x14ac:dyDescent="0.2">
      <c r="A17" s="71" t="s">
        <v>17</v>
      </c>
      <c r="B17" s="71">
        <v>7201379356</v>
      </c>
      <c r="C17" s="71">
        <v>3001450164</v>
      </c>
      <c r="D17" s="72"/>
      <c r="E17" s="73"/>
      <c r="F17" s="74"/>
      <c r="G17" s="75"/>
    </row>
    <row r="18" spans="1:10" ht="12" customHeight="1" x14ac:dyDescent="0.2">
      <c r="A18" s="71" t="s">
        <v>17</v>
      </c>
      <c r="B18" s="71">
        <v>7202048247</v>
      </c>
      <c r="C18" s="71">
        <v>3000881551</v>
      </c>
      <c r="D18" s="72">
        <v>1328</v>
      </c>
      <c r="E18" s="73"/>
      <c r="F18" s="74"/>
      <c r="G18" s="75"/>
      <c r="J18" s="14"/>
    </row>
    <row r="19" spans="1:10" ht="12" customHeight="1" x14ac:dyDescent="0.2">
      <c r="A19" s="10" t="s">
        <v>18</v>
      </c>
      <c r="B19" s="10">
        <v>7005634342</v>
      </c>
      <c r="C19" s="10">
        <v>3002906805</v>
      </c>
      <c r="D19" s="48">
        <v>2500</v>
      </c>
      <c r="E19" s="67">
        <v>0.2</v>
      </c>
      <c r="F19" s="62"/>
      <c r="G19" s="56">
        <v>2</v>
      </c>
      <c r="J19" s="14"/>
    </row>
    <row r="20" spans="1:10" ht="12" customHeight="1" x14ac:dyDescent="0.2">
      <c r="A20" s="10" t="s">
        <v>19</v>
      </c>
      <c r="B20" s="10">
        <v>7000047224</v>
      </c>
      <c r="C20" s="10">
        <v>3001450247</v>
      </c>
      <c r="D20" s="48">
        <v>1798</v>
      </c>
      <c r="E20" s="67">
        <v>0.15</v>
      </c>
      <c r="F20" s="62"/>
      <c r="G20" s="56">
        <v>1</v>
      </c>
      <c r="J20" s="14"/>
    </row>
    <row r="21" spans="1:10" ht="14.25" customHeight="1" x14ac:dyDescent="0.2">
      <c r="A21" s="71" t="s">
        <v>20</v>
      </c>
      <c r="B21" s="71">
        <v>7202360028</v>
      </c>
      <c r="C21" s="71">
        <v>3012107385</v>
      </c>
      <c r="D21" s="72">
        <v>357</v>
      </c>
      <c r="E21" s="73"/>
      <c r="F21" s="74"/>
      <c r="G21" s="75"/>
      <c r="J21" s="14"/>
    </row>
    <row r="22" spans="1:10" ht="14.25" hidden="1" customHeight="1" x14ac:dyDescent="0.2">
      <c r="A22" s="68" t="s">
        <v>21</v>
      </c>
      <c r="B22" s="10">
        <v>7005728190</v>
      </c>
      <c r="C22" s="10">
        <v>3002906524</v>
      </c>
      <c r="D22" s="48"/>
      <c r="E22" s="66">
        <v>0.1</v>
      </c>
      <c r="F22" s="62"/>
      <c r="G22" s="56">
        <v>1</v>
      </c>
      <c r="J22" s="14"/>
    </row>
    <row r="23" spans="1:10" ht="14.25" customHeight="1" x14ac:dyDescent="0.2">
      <c r="A23" s="68" t="s">
        <v>22</v>
      </c>
      <c r="B23" s="10">
        <v>7010498067</v>
      </c>
      <c r="C23" s="10">
        <v>3013027271</v>
      </c>
      <c r="D23" s="48">
        <v>1920</v>
      </c>
      <c r="E23" s="66">
        <v>0.1</v>
      </c>
      <c r="F23" s="62"/>
      <c r="G23" s="56">
        <v>2</v>
      </c>
      <c r="J23" s="14"/>
    </row>
    <row r="24" spans="1:10" ht="14.25" hidden="1" customHeight="1" x14ac:dyDescent="0.2">
      <c r="A24" s="68" t="s">
        <v>23</v>
      </c>
      <c r="B24" s="10">
        <v>7005590706</v>
      </c>
      <c r="C24" s="10">
        <v>3006036124</v>
      </c>
      <c r="D24" s="48"/>
      <c r="E24" s="66">
        <v>0.1</v>
      </c>
      <c r="F24" s="62"/>
      <c r="G24" s="56">
        <v>1</v>
      </c>
      <c r="J24" s="14"/>
    </row>
    <row r="25" spans="1:10" ht="14.25" hidden="1" customHeight="1" x14ac:dyDescent="0.2">
      <c r="A25" s="68" t="s">
        <v>23</v>
      </c>
      <c r="B25" s="10">
        <v>7005590706</v>
      </c>
      <c r="C25" s="10">
        <v>3006066868</v>
      </c>
      <c r="D25" s="48"/>
      <c r="E25" s="66">
        <v>0.1</v>
      </c>
      <c r="F25" s="62"/>
      <c r="G25" s="56">
        <v>1</v>
      </c>
    </row>
    <row r="26" spans="1:10" ht="14.25" hidden="1" customHeight="1" x14ac:dyDescent="0.2">
      <c r="A26" s="68" t="s">
        <v>23</v>
      </c>
      <c r="B26" s="10">
        <v>7005590706</v>
      </c>
      <c r="C26" s="10">
        <v>3012116454</v>
      </c>
      <c r="D26" s="48"/>
      <c r="E26" s="66">
        <v>0.1</v>
      </c>
      <c r="F26" s="62"/>
      <c r="G26" s="56">
        <v>1</v>
      </c>
    </row>
    <row r="27" spans="1:10" ht="14.25" hidden="1" customHeight="1" x14ac:dyDescent="0.2">
      <c r="A27" s="68" t="s">
        <v>24</v>
      </c>
      <c r="B27" s="10">
        <v>7005707573</v>
      </c>
      <c r="C27" s="10">
        <v>3004831003</v>
      </c>
      <c r="D27" s="48"/>
      <c r="E27" s="66">
        <v>0.1</v>
      </c>
      <c r="F27" s="62"/>
      <c r="G27" s="56">
        <v>1</v>
      </c>
    </row>
    <row r="28" spans="1:10" ht="14.25" hidden="1" customHeight="1" x14ac:dyDescent="0.2">
      <c r="A28" s="68" t="s">
        <v>24</v>
      </c>
      <c r="B28" s="10">
        <v>7005707573</v>
      </c>
      <c r="C28" s="10">
        <v>3004831005</v>
      </c>
      <c r="D28" s="48"/>
      <c r="E28" s="66">
        <v>0.1</v>
      </c>
      <c r="F28" s="62"/>
      <c r="G28" s="56">
        <v>1</v>
      </c>
    </row>
    <row r="29" spans="1:10" ht="14.25" hidden="1" customHeight="1" x14ac:dyDescent="0.2">
      <c r="A29" s="68" t="s">
        <v>24</v>
      </c>
      <c r="B29" s="10">
        <v>7005707573</v>
      </c>
      <c r="C29" s="10">
        <v>3006425617</v>
      </c>
      <c r="D29" s="48"/>
      <c r="E29" s="66">
        <v>0.1</v>
      </c>
      <c r="F29" s="62"/>
      <c r="G29" s="56">
        <v>1</v>
      </c>
    </row>
    <row r="30" spans="1:10" x14ac:dyDescent="0.2">
      <c r="A30" s="68" t="s">
        <v>25</v>
      </c>
      <c r="B30" s="10">
        <v>7005530163</v>
      </c>
      <c r="C30" s="10">
        <v>3003562994</v>
      </c>
      <c r="D30" s="48">
        <v>3762</v>
      </c>
      <c r="E30" s="67">
        <v>0.2</v>
      </c>
      <c r="F30" s="64"/>
      <c r="G30" s="58">
        <v>2</v>
      </c>
    </row>
    <row r="31" spans="1:10" x14ac:dyDescent="0.2">
      <c r="A31" s="10" t="s">
        <v>26</v>
      </c>
      <c r="B31" s="10">
        <v>7202402563</v>
      </c>
      <c r="C31" s="10">
        <v>3006700739</v>
      </c>
      <c r="D31" s="48">
        <v>4364</v>
      </c>
      <c r="E31" s="67">
        <v>0.15</v>
      </c>
      <c r="F31" s="64"/>
      <c r="G31" s="58">
        <v>1</v>
      </c>
    </row>
    <row r="32" spans="1:10" x14ac:dyDescent="0.2">
      <c r="A32" s="10" t="s">
        <v>27</v>
      </c>
      <c r="B32" s="10">
        <v>7202760807</v>
      </c>
      <c r="C32" s="10">
        <v>3012940288</v>
      </c>
      <c r="D32" s="48">
        <v>1461</v>
      </c>
      <c r="E32" s="67">
        <v>0.15</v>
      </c>
      <c r="F32" s="64"/>
      <c r="G32" s="58">
        <v>2</v>
      </c>
    </row>
    <row r="33" spans="1:9" x14ac:dyDescent="0.2">
      <c r="A33" s="10" t="s">
        <v>28</v>
      </c>
      <c r="B33" s="10">
        <v>7202482231</v>
      </c>
      <c r="C33" s="10">
        <v>3004607095</v>
      </c>
      <c r="D33" s="48">
        <v>273</v>
      </c>
      <c r="E33" s="67">
        <v>0.2</v>
      </c>
      <c r="F33" s="64"/>
      <c r="G33" s="58">
        <v>2</v>
      </c>
    </row>
    <row r="34" spans="1:9" x14ac:dyDescent="0.2">
      <c r="A34" s="10" t="s">
        <v>28</v>
      </c>
      <c r="B34" s="10">
        <v>7202482231</v>
      </c>
      <c r="C34" s="49">
        <v>3005534144</v>
      </c>
      <c r="D34" s="48">
        <v>196</v>
      </c>
      <c r="E34" s="67">
        <v>0.2</v>
      </c>
      <c r="F34" s="64"/>
      <c r="G34" s="58">
        <v>2</v>
      </c>
    </row>
    <row r="35" spans="1:9" x14ac:dyDescent="0.2">
      <c r="A35" s="71" t="s">
        <v>30</v>
      </c>
      <c r="B35" s="71">
        <v>7201768092</v>
      </c>
      <c r="C35" s="76">
        <v>3012189878</v>
      </c>
      <c r="D35" s="72">
        <v>741</v>
      </c>
      <c r="E35" s="73"/>
      <c r="F35" s="74"/>
      <c r="G35" s="75"/>
    </row>
    <row r="36" spans="1:9" x14ac:dyDescent="0.2">
      <c r="A36" s="10" t="s">
        <v>31</v>
      </c>
      <c r="B36" s="10">
        <v>7201768092</v>
      </c>
      <c r="C36" s="49">
        <v>3001450194</v>
      </c>
      <c r="D36" s="48">
        <v>458</v>
      </c>
      <c r="E36" s="67">
        <v>0.2</v>
      </c>
      <c r="F36" s="64"/>
      <c r="G36" s="58">
        <v>2</v>
      </c>
    </row>
    <row r="37" spans="1:9" x14ac:dyDescent="0.2">
      <c r="A37" s="71" t="s">
        <v>32</v>
      </c>
      <c r="B37" s="71">
        <v>7202360028</v>
      </c>
      <c r="C37" s="76">
        <v>3014183803</v>
      </c>
      <c r="D37" s="72">
        <v>238</v>
      </c>
      <c r="E37" s="73"/>
      <c r="F37" s="74"/>
      <c r="G37" s="75"/>
    </row>
    <row r="38" spans="1:9" x14ac:dyDescent="0.2">
      <c r="A38" s="10" t="s">
        <v>33</v>
      </c>
      <c r="B38" s="10">
        <v>7005466339</v>
      </c>
      <c r="C38" s="49">
        <v>3013791114</v>
      </c>
      <c r="D38" s="48">
        <v>0</v>
      </c>
      <c r="E38" s="67">
        <v>0.2</v>
      </c>
      <c r="F38" s="64"/>
      <c r="G38" s="58">
        <v>2</v>
      </c>
    </row>
    <row r="39" spans="1:9" x14ac:dyDescent="0.2">
      <c r="A39" s="10" t="s">
        <v>33</v>
      </c>
      <c r="B39" s="10">
        <v>7005466339</v>
      </c>
      <c r="C39" s="49">
        <v>3002619862</v>
      </c>
      <c r="D39" s="48"/>
      <c r="E39" s="67">
        <v>0.2</v>
      </c>
      <c r="F39" s="64"/>
      <c r="G39" s="58">
        <v>2</v>
      </c>
    </row>
    <row r="40" spans="1:9" x14ac:dyDescent="0.2">
      <c r="A40" s="69" t="s">
        <v>34</v>
      </c>
      <c r="B40" s="10">
        <v>7200135835</v>
      </c>
      <c r="C40" s="49">
        <v>3001450251</v>
      </c>
      <c r="D40" s="48"/>
      <c r="E40" s="67">
        <v>0.15</v>
      </c>
      <c r="F40" s="64"/>
      <c r="G40" s="58">
        <v>2</v>
      </c>
    </row>
    <row r="41" spans="1:9" x14ac:dyDescent="0.2">
      <c r="A41" s="69" t="s">
        <v>35</v>
      </c>
      <c r="B41" s="10">
        <v>7201768092</v>
      </c>
      <c r="C41" s="49">
        <v>3012262751</v>
      </c>
      <c r="D41" s="48"/>
      <c r="E41" s="67">
        <v>0.15</v>
      </c>
      <c r="F41" s="64"/>
      <c r="G41" s="58">
        <v>2</v>
      </c>
      <c r="I41" s="65" t="s">
        <v>36</v>
      </c>
    </row>
    <row r="42" spans="1:9" x14ac:dyDescent="0.2">
      <c r="A42" s="69" t="s">
        <v>37</v>
      </c>
      <c r="B42" s="10">
        <v>7201768092</v>
      </c>
      <c r="C42" s="49">
        <v>3007395349</v>
      </c>
      <c r="D42" s="48"/>
      <c r="E42" s="67">
        <v>0.15</v>
      </c>
      <c r="F42" s="64"/>
      <c r="G42" s="58">
        <v>2</v>
      </c>
    </row>
    <row r="43" spans="1:9" x14ac:dyDescent="0.2">
      <c r="A43" s="69" t="s">
        <v>38</v>
      </c>
      <c r="B43" s="10">
        <v>7201768092</v>
      </c>
      <c r="C43" s="49">
        <v>3001780367</v>
      </c>
      <c r="D43" s="48"/>
      <c r="E43" s="67">
        <v>0.15</v>
      </c>
      <c r="F43" s="64"/>
      <c r="G43" s="58">
        <v>2</v>
      </c>
    </row>
    <row r="44" spans="1:9" x14ac:dyDescent="0.2">
      <c r="A44" s="69" t="s">
        <v>39</v>
      </c>
      <c r="B44" s="10">
        <v>7201768092</v>
      </c>
      <c r="C44" s="49">
        <v>3000914060</v>
      </c>
      <c r="D44" s="48"/>
      <c r="E44" s="67">
        <v>0.15</v>
      </c>
      <c r="F44" s="64"/>
      <c r="G44" s="58">
        <v>2</v>
      </c>
    </row>
    <row r="45" spans="1:9" x14ac:dyDescent="0.2">
      <c r="A45" s="69" t="s">
        <v>40</v>
      </c>
      <c r="B45" s="10">
        <v>7202806123</v>
      </c>
      <c r="C45" s="49">
        <v>3003198807</v>
      </c>
      <c r="D45" s="48"/>
      <c r="E45" s="67">
        <v>0.15</v>
      </c>
      <c r="F45" s="64"/>
      <c r="G45" s="58">
        <v>2</v>
      </c>
    </row>
    <row r="46" spans="1:9" ht="13.5" thickBot="1" x14ac:dyDescent="0.25">
      <c r="C46" s="20" t="s">
        <v>29</v>
      </c>
      <c r="D46" s="21">
        <f>SUM(D3:D45)</f>
        <v>52746</v>
      </c>
      <c r="E46" s="22"/>
      <c r="F46" s="23"/>
      <c r="G46" s="23"/>
    </row>
    <row r="47" spans="1:9" ht="13.5" thickTop="1" x14ac:dyDescent="0.2"/>
  </sheetData>
  <mergeCells count="1">
    <mergeCell ref="D1:F1"/>
  </mergeCells>
  <pageMargins left="0.51181102362204722" right="0.51181102362204722" top="0.78740157480314965" bottom="0.78740157480314965" header="0.31496062992125984" footer="0.31496062992125984"/>
  <pageSetup paperSize="9"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AEAC2-2A1F-4D41-B828-8AD37D218E8D}">
  <dimension ref="A1:K39"/>
  <sheetViews>
    <sheetView zoomScaleNormal="100" workbookViewId="0">
      <pane ySplit="2" topLeftCell="A16" activePane="bottomLeft" state="frozen"/>
      <selection pane="bottomLeft" activeCell="D36" sqref="D36"/>
    </sheetView>
  </sheetViews>
  <sheetFormatPr defaultRowHeight="12.75" x14ac:dyDescent="0.2"/>
  <cols>
    <col min="1" max="1" width="32.5703125" bestFit="1" customWidth="1"/>
    <col min="2" max="2" width="16.140625" bestFit="1" customWidth="1"/>
    <col min="3" max="3" width="14.140625" bestFit="1" customWidth="1"/>
    <col min="4" max="4" width="10.140625" bestFit="1" customWidth="1"/>
    <col min="5" max="5" width="11.5703125" customWidth="1"/>
    <col min="6" max="6" width="13.140625" customWidth="1"/>
    <col min="7" max="7" width="7" bestFit="1" customWidth="1"/>
  </cols>
  <sheetData>
    <row r="1" spans="1:11" ht="16.5" thickTop="1" x14ac:dyDescent="0.25">
      <c r="A1" s="24"/>
      <c r="B1" s="25"/>
      <c r="C1" s="25"/>
      <c r="D1" s="139">
        <v>44743</v>
      </c>
      <c r="E1" s="140"/>
      <c r="F1" s="141"/>
    </row>
    <row r="2" spans="1:11" ht="30.75" customHeight="1" x14ac:dyDescent="0.2">
      <c r="A2" s="4" t="s">
        <v>0</v>
      </c>
      <c r="B2" s="3" t="s">
        <v>1</v>
      </c>
      <c r="C2" s="3" t="s">
        <v>2</v>
      </c>
      <c r="D2" s="3" t="s">
        <v>3</v>
      </c>
      <c r="E2" s="61" t="s">
        <v>4</v>
      </c>
      <c r="F2" s="60" t="s">
        <v>5</v>
      </c>
      <c r="G2" s="5" t="s">
        <v>6</v>
      </c>
    </row>
    <row r="3" spans="1:11" x14ac:dyDescent="0.2">
      <c r="A3" s="10" t="s">
        <v>7</v>
      </c>
      <c r="B3" s="10">
        <v>7005713839</v>
      </c>
      <c r="C3" s="10">
        <v>3003858507</v>
      </c>
      <c r="D3" s="48">
        <v>601</v>
      </c>
      <c r="E3" s="66">
        <v>0.1</v>
      </c>
      <c r="F3" s="62"/>
      <c r="G3" s="56">
        <v>2</v>
      </c>
    </row>
    <row r="4" spans="1:11" x14ac:dyDescent="0.2">
      <c r="A4" s="10" t="s">
        <v>8</v>
      </c>
      <c r="B4" s="10">
        <v>7008528502</v>
      </c>
      <c r="C4" s="10">
        <v>3001084033</v>
      </c>
      <c r="D4" s="48">
        <v>5575</v>
      </c>
      <c r="E4" s="66">
        <v>0.1</v>
      </c>
      <c r="F4" s="62"/>
      <c r="G4" s="56">
        <v>1</v>
      </c>
    </row>
    <row r="5" spans="1:11" x14ac:dyDescent="0.2">
      <c r="A5" s="10" t="s">
        <v>9</v>
      </c>
      <c r="B5" s="10">
        <v>7200634170</v>
      </c>
      <c r="C5" s="10">
        <v>3012153634</v>
      </c>
      <c r="D5" s="48">
        <v>960</v>
      </c>
      <c r="E5" s="66">
        <v>0.1</v>
      </c>
      <c r="F5" s="62"/>
      <c r="G5" s="56">
        <v>2</v>
      </c>
    </row>
    <row r="6" spans="1:11" x14ac:dyDescent="0.2">
      <c r="A6" s="10" t="s">
        <v>9</v>
      </c>
      <c r="B6" s="10">
        <v>7005369021</v>
      </c>
      <c r="C6" s="10">
        <v>3011373971</v>
      </c>
      <c r="D6" s="48">
        <v>607</v>
      </c>
      <c r="E6" s="66">
        <v>0.1</v>
      </c>
      <c r="F6" s="62"/>
      <c r="G6" s="56">
        <v>2</v>
      </c>
    </row>
    <row r="7" spans="1:11" x14ac:dyDescent="0.2">
      <c r="A7" s="10" t="s">
        <v>11</v>
      </c>
      <c r="B7" s="10">
        <v>7005492088</v>
      </c>
      <c r="C7" s="10">
        <v>3001449459</v>
      </c>
      <c r="D7" s="48">
        <v>780</v>
      </c>
      <c r="E7" s="66">
        <v>0.1</v>
      </c>
      <c r="F7" s="62"/>
      <c r="G7" s="56">
        <v>2</v>
      </c>
    </row>
    <row r="8" spans="1:11" x14ac:dyDescent="0.2">
      <c r="A8" s="10" t="s">
        <v>11</v>
      </c>
      <c r="B8" s="10">
        <v>7005492088</v>
      </c>
      <c r="C8" s="10">
        <v>3011504476</v>
      </c>
      <c r="D8" s="48">
        <v>1385</v>
      </c>
      <c r="E8" s="66">
        <v>0.1</v>
      </c>
      <c r="F8" s="62"/>
      <c r="G8" s="56">
        <v>2</v>
      </c>
    </row>
    <row r="9" spans="1:11" x14ac:dyDescent="0.2">
      <c r="A9" s="10" t="s">
        <v>11</v>
      </c>
      <c r="B9" s="10">
        <v>7005492088</v>
      </c>
      <c r="C9" s="10">
        <v>3014340686</v>
      </c>
      <c r="D9" s="48">
        <v>1729</v>
      </c>
      <c r="E9" s="66">
        <v>0.1</v>
      </c>
      <c r="F9" s="62"/>
      <c r="G9" s="56">
        <v>2</v>
      </c>
    </row>
    <row r="10" spans="1:11" x14ac:dyDescent="0.2">
      <c r="A10" s="71" t="s">
        <v>12</v>
      </c>
      <c r="B10" s="71">
        <v>7202158396</v>
      </c>
      <c r="C10" s="71">
        <v>3002906325</v>
      </c>
      <c r="D10" s="72">
        <v>358</v>
      </c>
      <c r="E10" s="73"/>
      <c r="F10" s="74"/>
      <c r="G10" s="75"/>
    </row>
    <row r="11" spans="1:11" x14ac:dyDescent="0.2">
      <c r="A11" s="10" t="s">
        <v>13</v>
      </c>
      <c r="B11" s="10">
        <v>7005723073</v>
      </c>
      <c r="C11" s="10">
        <v>3002906806</v>
      </c>
      <c r="D11" s="48">
        <v>1972</v>
      </c>
      <c r="E11" s="67">
        <v>0.2</v>
      </c>
      <c r="F11" s="62"/>
      <c r="G11" s="56">
        <v>2</v>
      </c>
    </row>
    <row r="12" spans="1:11" x14ac:dyDescent="0.2">
      <c r="A12" s="10" t="s">
        <v>14</v>
      </c>
      <c r="B12" s="10">
        <v>7009098124</v>
      </c>
      <c r="C12" s="10">
        <v>3003388708</v>
      </c>
      <c r="D12" s="48">
        <v>4780</v>
      </c>
      <c r="E12" s="66">
        <v>0.1</v>
      </c>
      <c r="F12" s="62"/>
      <c r="G12" s="56">
        <v>1</v>
      </c>
    </row>
    <row r="13" spans="1:11" x14ac:dyDescent="0.2">
      <c r="A13" s="10" t="s">
        <v>14</v>
      </c>
      <c r="B13" s="10">
        <v>7009098124</v>
      </c>
      <c r="C13" s="10">
        <v>3010494037</v>
      </c>
      <c r="D13" s="48">
        <v>11106</v>
      </c>
      <c r="E13" s="66">
        <v>0.1</v>
      </c>
      <c r="F13" s="62"/>
      <c r="G13" s="56">
        <v>1</v>
      </c>
    </row>
    <row r="14" spans="1:11" x14ac:dyDescent="0.2">
      <c r="A14" s="10" t="s">
        <v>15</v>
      </c>
      <c r="B14" s="10">
        <v>7005719624</v>
      </c>
      <c r="C14" s="10">
        <v>3001268572</v>
      </c>
      <c r="D14" s="48">
        <v>1359</v>
      </c>
      <c r="E14" s="66">
        <v>0.1</v>
      </c>
      <c r="F14" s="62"/>
      <c r="G14" s="56">
        <v>1</v>
      </c>
      <c r="K14" s="9"/>
    </row>
    <row r="15" spans="1:11" x14ac:dyDescent="0.2">
      <c r="A15" s="10" t="s">
        <v>16</v>
      </c>
      <c r="B15" s="10">
        <v>7005623640</v>
      </c>
      <c r="C15" s="10">
        <v>3002176022</v>
      </c>
      <c r="D15" s="48">
        <v>5172</v>
      </c>
      <c r="E15" s="67">
        <v>0.15</v>
      </c>
      <c r="F15" s="62"/>
      <c r="G15" s="56">
        <v>2</v>
      </c>
    </row>
    <row r="16" spans="1:11" x14ac:dyDescent="0.2">
      <c r="A16" s="71" t="s">
        <v>17</v>
      </c>
      <c r="B16" s="71">
        <v>7202048247</v>
      </c>
      <c r="C16" s="71">
        <v>3003586967</v>
      </c>
      <c r="D16" s="72">
        <v>167</v>
      </c>
      <c r="E16" s="73"/>
      <c r="F16" s="74"/>
      <c r="G16" s="75"/>
    </row>
    <row r="17" spans="1:10" ht="12" customHeight="1" x14ac:dyDescent="0.2">
      <c r="A17" s="71" t="s">
        <v>17</v>
      </c>
      <c r="B17" s="71">
        <v>7202048247</v>
      </c>
      <c r="C17" s="71">
        <v>3000881551</v>
      </c>
      <c r="D17" s="72">
        <v>1330</v>
      </c>
      <c r="E17" s="73"/>
      <c r="F17" s="74"/>
      <c r="G17" s="75"/>
      <c r="J17" s="14"/>
    </row>
    <row r="18" spans="1:10" ht="12" customHeight="1" x14ac:dyDescent="0.2">
      <c r="A18" s="10" t="s">
        <v>18</v>
      </c>
      <c r="B18" s="10">
        <v>7005634342</v>
      </c>
      <c r="C18" s="10">
        <v>3002906805</v>
      </c>
      <c r="D18" s="48">
        <v>2300</v>
      </c>
      <c r="E18" s="67">
        <v>0.2</v>
      </c>
      <c r="F18" s="62"/>
      <c r="G18" s="56">
        <v>2</v>
      </c>
      <c r="J18" s="14"/>
    </row>
    <row r="19" spans="1:10" ht="12" customHeight="1" x14ac:dyDescent="0.2">
      <c r="A19" s="10" t="s">
        <v>19</v>
      </c>
      <c r="B19" s="10">
        <v>7000047224</v>
      </c>
      <c r="C19" s="10">
        <v>3001450247</v>
      </c>
      <c r="D19" s="48">
        <v>1680</v>
      </c>
      <c r="E19" s="67">
        <v>0.15</v>
      </c>
      <c r="F19" s="62"/>
      <c r="G19" s="56">
        <v>1</v>
      </c>
      <c r="J19" s="14"/>
    </row>
    <row r="20" spans="1:10" ht="14.25" customHeight="1" x14ac:dyDescent="0.2">
      <c r="A20" s="71" t="s">
        <v>20</v>
      </c>
      <c r="B20" s="71">
        <v>7202360028</v>
      </c>
      <c r="C20" s="71">
        <v>3012107385</v>
      </c>
      <c r="D20" s="72">
        <v>230</v>
      </c>
      <c r="E20" s="73"/>
      <c r="F20" s="74"/>
      <c r="G20" s="75"/>
      <c r="J20" s="14"/>
    </row>
    <row r="21" spans="1:10" ht="14.25" customHeight="1" x14ac:dyDescent="0.2">
      <c r="A21" s="68" t="s">
        <v>22</v>
      </c>
      <c r="B21" s="10">
        <v>7010498067</v>
      </c>
      <c r="C21" s="10">
        <v>3013027271</v>
      </c>
      <c r="D21" s="48">
        <v>1880</v>
      </c>
      <c r="E21" s="66">
        <v>0.1</v>
      </c>
      <c r="F21" s="62"/>
      <c r="G21" s="56">
        <v>2</v>
      </c>
      <c r="J21" s="14"/>
    </row>
    <row r="22" spans="1:10" x14ac:dyDescent="0.2">
      <c r="A22" s="68" t="s">
        <v>25</v>
      </c>
      <c r="B22" s="10">
        <v>7005530163</v>
      </c>
      <c r="C22" s="10">
        <v>3003562994</v>
      </c>
      <c r="D22" s="48">
        <v>3932</v>
      </c>
      <c r="E22" s="67">
        <v>0.2</v>
      </c>
      <c r="F22" s="64"/>
      <c r="G22" s="58">
        <v>2</v>
      </c>
    </row>
    <row r="23" spans="1:10" x14ac:dyDescent="0.2">
      <c r="A23" s="10" t="s">
        <v>26</v>
      </c>
      <c r="B23" s="10">
        <v>7202402563</v>
      </c>
      <c r="C23" s="10">
        <v>3006700739</v>
      </c>
      <c r="D23" s="48">
        <v>3739</v>
      </c>
      <c r="E23" s="67">
        <v>0.15</v>
      </c>
      <c r="F23" s="64"/>
      <c r="G23" s="58">
        <v>1</v>
      </c>
    </row>
    <row r="24" spans="1:10" x14ac:dyDescent="0.2">
      <c r="A24" s="10" t="s">
        <v>27</v>
      </c>
      <c r="B24" s="10">
        <v>7202760807</v>
      </c>
      <c r="C24" s="10">
        <v>3012940288</v>
      </c>
      <c r="D24" s="48">
        <v>1341</v>
      </c>
      <c r="E24" s="67">
        <v>0.15</v>
      </c>
      <c r="F24" s="64"/>
      <c r="G24" s="58">
        <v>2</v>
      </c>
    </row>
    <row r="25" spans="1:10" x14ac:dyDescent="0.2">
      <c r="A25" s="10" t="s">
        <v>28</v>
      </c>
      <c r="B25" s="10">
        <v>7202482231</v>
      </c>
      <c r="C25" s="10">
        <v>3004607095</v>
      </c>
      <c r="D25" s="48">
        <v>273</v>
      </c>
      <c r="E25" s="67">
        <v>0.2</v>
      </c>
      <c r="F25" s="64"/>
      <c r="G25" s="58">
        <v>2</v>
      </c>
    </row>
    <row r="26" spans="1:10" x14ac:dyDescent="0.2">
      <c r="A26" s="10" t="s">
        <v>28</v>
      </c>
      <c r="B26" s="10">
        <v>7202482231</v>
      </c>
      <c r="C26" s="49">
        <v>3005534144</v>
      </c>
      <c r="D26" s="48">
        <v>197</v>
      </c>
      <c r="E26" s="67">
        <v>0.2</v>
      </c>
      <c r="F26" s="64"/>
      <c r="G26" s="58">
        <v>2</v>
      </c>
    </row>
    <row r="27" spans="1:10" x14ac:dyDescent="0.2">
      <c r="A27" s="71" t="s">
        <v>30</v>
      </c>
      <c r="B27" s="71">
        <v>7201768092</v>
      </c>
      <c r="C27" s="76">
        <v>3012189878</v>
      </c>
      <c r="D27" s="72">
        <v>543</v>
      </c>
      <c r="E27" s="73"/>
      <c r="F27" s="74"/>
      <c r="G27" s="75"/>
    </row>
    <row r="28" spans="1:10" x14ac:dyDescent="0.2">
      <c r="A28" s="10" t="s">
        <v>31</v>
      </c>
      <c r="B28" s="10">
        <v>7201768092</v>
      </c>
      <c r="C28" s="49">
        <v>3001450194</v>
      </c>
      <c r="D28" s="48">
        <v>437</v>
      </c>
      <c r="E28" s="67">
        <v>0.2</v>
      </c>
      <c r="F28" s="64"/>
      <c r="G28" s="58">
        <v>2</v>
      </c>
    </row>
    <row r="29" spans="1:10" x14ac:dyDescent="0.2">
      <c r="A29" s="71" t="s">
        <v>32</v>
      </c>
      <c r="B29" s="71">
        <v>7202360028</v>
      </c>
      <c r="C29" s="76">
        <v>3014183803</v>
      </c>
      <c r="D29" s="72">
        <v>230</v>
      </c>
      <c r="E29" s="73"/>
      <c r="F29" s="74"/>
      <c r="G29" s="75"/>
    </row>
    <row r="30" spans="1:10" x14ac:dyDescent="0.2">
      <c r="A30" s="10" t="s">
        <v>33</v>
      </c>
      <c r="B30" s="10">
        <v>7005466339</v>
      </c>
      <c r="C30" s="49">
        <v>3013791114</v>
      </c>
      <c r="D30" s="48">
        <v>184</v>
      </c>
      <c r="E30" s="67">
        <v>0.2</v>
      </c>
      <c r="F30" s="64"/>
      <c r="G30" s="58">
        <v>2</v>
      </c>
    </row>
    <row r="31" spans="1:10" x14ac:dyDescent="0.2">
      <c r="A31" s="10" t="s">
        <v>33</v>
      </c>
      <c r="B31" s="10">
        <v>7005466339</v>
      </c>
      <c r="C31" s="49">
        <v>3002619862</v>
      </c>
      <c r="D31" s="48">
        <v>139</v>
      </c>
      <c r="E31" s="67">
        <v>0.2</v>
      </c>
      <c r="F31" s="64"/>
      <c r="G31" s="58">
        <v>2</v>
      </c>
    </row>
    <row r="32" spans="1:10" x14ac:dyDescent="0.2">
      <c r="A32" s="70" t="s">
        <v>34</v>
      </c>
      <c r="B32" s="10">
        <v>7200135835</v>
      </c>
      <c r="C32" s="49">
        <v>3001450251</v>
      </c>
      <c r="D32" s="48">
        <v>332</v>
      </c>
      <c r="E32" s="67">
        <v>0.15</v>
      </c>
      <c r="F32" s="64"/>
      <c r="G32" s="58">
        <v>2</v>
      </c>
    </row>
    <row r="33" spans="1:9" x14ac:dyDescent="0.2">
      <c r="A33" s="70" t="s">
        <v>35</v>
      </c>
      <c r="B33" s="10">
        <v>7201768092</v>
      </c>
      <c r="C33" s="49">
        <v>3012262751</v>
      </c>
      <c r="D33" s="48">
        <v>0</v>
      </c>
      <c r="E33" s="67">
        <v>0.15</v>
      </c>
      <c r="F33" s="64"/>
      <c r="G33" s="58">
        <v>2</v>
      </c>
      <c r="I33" s="65"/>
    </row>
    <row r="34" spans="1:9" x14ac:dyDescent="0.2">
      <c r="A34" s="70" t="s">
        <v>37</v>
      </c>
      <c r="B34" s="10">
        <v>7201768092</v>
      </c>
      <c r="C34" s="49">
        <v>3007395349</v>
      </c>
      <c r="D34" s="48">
        <v>0</v>
      </c>
      <c r="E34" s="67">
        <v>0.15</v>
      </c>
      <c r="F34" s="64"/>
      <c r="G34" s="58">
        <v>2</v>
      </c>
    </row>
    <row r="35" spans="1:9" x14ac:dyDescent="0.2">
      <c r="A35" s="70" t="s">
        <v>38</v>
      </c>
      <c r="B35" s="10">
        <v>7201768092</v>
      </c>
      <c r="C35" s="49">
        <v>3001780367</v>
      </c>
      <c r="D35" s="48">
        <v>0</v>
      </c>
      <c r="E35" s="67">
        <v>0.15</v>
      </c>
      <c r="F35" s="64"/>
      <c r="G35" s="58">
        <v>2</v>
      </c>
    </row>
    <row r="36" spans="1:9" x14ac:dyDescent="0.2">
      <c r="A36" s="70" t="s">
        <v>39</v>
      </c>
      <c r="B36" s="10">
        <v>7201768092</v>
      </c>
      <c r="C36" s="49">
        <v>3000914060</v>
      </c>
      <c r="D36" s="48">
        <v>544</v>
      </c>
      <c r="E36" s="67">
        <v>0.15</v>
      </c>
      <c r="F36" s="64"/>
      <c r="G36" s="58">
        <v>2</v>
      </c>
    </row>
    <row r="37" spans="1:9" x14ac:dyDescent="0.2">
      <c r="A37" s="70" t="s">
        <v>40</v>
      </c>
      <c r="B37" s="10">
        <v>7202806123</v>
      </c>
      <c r="C37" s="49">
        <v>3003198807</v>
      </c>
      <c r="D37" s="48">
        <v>1769</v>
      </c>
      <c r="E37" s="67">
        <v>0.15</v>
      </c>
      <c r="F37" s="64"/>
      <c r="G37" s="58">
        <v>2</v>
      </c>
    </row>
    <row r="38" spans="1:9" ht="13.5" thickBot="1" x14ac:dyDescent="0.25">
      <c r="C38" s="20" t="s">
        <v>29</v>
      </c>
      <c r="D38" s="21">
        <f>SUM(D3:D26)</f>
        <v>53453</v>
      </c>
      <c r="E38" s="22"/>
      <c r="F38" s="23"/>
      <c r="G38" s="23"/>
    </row>
    <row r="39" spans="1:9" ht="13.5" thickTop="1" x14ac:dyDescent="0.2"/>
  </sheetData>
  <autoFilter ref="A2:G38" xr:uid="{124AEAC2-2A1F-4D41-B828-8AD37D218E8D}"/>
  <mergeCells count="1">
    <mergeCell ref="D1:F1"/>
  </mergeCells>
  <pageMargins left="0.51181102362204722" right="0.51181102362204722" top="0.78740157480314965" bottom="0.78740157480314965" header="0.31496062992125984" footer="0.31496062992125984"/>
  <pageSetup paperSize="9" scale="8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2AB3C-0437-4BBB-83FA-BF0987B3E932}">
  <dimension ref="A1:K45"/>
  <sheetViews>
    <sheetView zoomScaleNormal="100" workbookViewId="0">
      <pane ySplit="2" topLeftCell="A3" activePane="bottomLeft" state="frozen"/>
      <selection pane="bottomLeft" activeCell="F49" sqref="F49"/>
    </sheetView>
  </sheetViews>
  <sheetFormatPr defaultRowHeight="12.75" x14ac:dyDescent="0.2"/>
  <cols>
    <col min="1" max="1" width="32.5703125" bestFit="1" customWidth="1"/>
    <col min="2" max="2" width="16.140625" bestFit="1" customWidth="1"/>
    <col min="3" max="3" width="14.140625" bestFit="1" customWidth="1"/>
    <col min="4" max="4" width="10.140625" bestFit="1" customWidth="1"/>
    <col min="5" max="5" width="11.5703125" customWidth="1"/>
    <col min="6" max="6" width="13.140625" customWidth="1"/>
    <col min="7" max="7" width="7" bestFit="1" customWidth="1"/>
  </cols>
  <sheetData>
    <row r="1" spans="1:11" ht="16.5" thickTop="1" x14ac:dyDescent="0.25">
      <c r="A1" s="24"/>
      <c r="B1" s="25"/>
      <c r="C1" s="25"/>
      <c r="D1" s="139">
        <v>44774</v>
      </c>
      <c r="E1" s="140"/>
      <c r="F1" s="141"/>
    </row>
    <row r="2" spans="1:11" ht="30.7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61" t="s">
        <v>4</v>
      </c>
      <c r="F2" s="61" t="s">
        <v>5</v>
      </c>
      <c r="G2" s="3" t="s">
        <v>6</v>
      </c>
      <c r="H2" s="3" t="s">
        <v>41</v>
      </c>
      <c r="I2" s="3" t="s">
        <v>42</v>
      </c>
    </row>
    <row r="3" spans="1:11" x14ac:dyDescent="0.2">
      <c r="A3" s="10" t="s">
        <v>7</v>
      </c>
      <c r="B3" s="10">
        <v>7005713839</v>
      </c>
      <c r="C3" s="10">
        <v>3003858507</v>
      </c>
      <c r="D3" s="48">
        <v>638</v>
      </c>
      <c r="E3" s="66">
        <v>0.1</v>
      </c>
      <c r="F3" s="88">
        <v>10</v>
      </c>
      <c r="G3" s="87">
        <v>2</v>
      </c>
      <c r="H3" s="12" t="s">
        <v>43</v>
      </c>
      <c r="I3" s="12" t="s">
        <v>43</v>
      </c>
    </row>
    <row r="4" spans="1:11" x14ac:dyDescent="0.2">
      <c r="A4" s="10" t="s">
        <v>8</v>
      </c>
      <c r="B4" s="10">
        <v>7008528502</v>
      </c>
      <c r="C4" s="10">
        <v>3001084033</v>
      </c>
      <c r="D4" s="48">
        <v>5263</v>
      </c>
      <c r="E4" s="66">
        <v>0.1</v>
      </c>
      <c r="F4" s="88">
        <v>3</v>
      </c>
      <c r="G4" s="87">
        <v>1</v>
      </c>
      <c r="H4" s="12" t="s">
        <v>43</v>
      </c>
      <c r="I4" s="12" t="s">
        <v>43</v>
      </c>
    </row>
    <row r="5" spans="1:11" x14ac:dyDescent="0.2">
      <c r="A5" s="10" t="s">
        <v>9</v>
      </c>
      <c r="B5" s="10">
        <v>7200634170</v>
      </c>
      <c r="C5" s="10">
        <v>3012153634</v>
      </c>
      <c r="D5" s="48">
        <v>1080</v>
      </c>
      <c r="E5" s="66">
        <v>0.1</v>
      </c>
      <c r="F5" s="88">
        <v>17</v>
      </c>
      <c r="G5" s="87">
        <v>2</v>
      </c>
      <c r="H5" s="12" t="s">
        <v>43</v>
      </c>
      <c r="I5" s="12" t="s">
        <v>43</v>
      </c>
    </row>
    <row r="6" spans="1:11" x14ac:dyDescent="0.2">
      <c r="A6" s="10" t="s">
        <v>9</v>
      </c>
      <c r="B6" s="10">
        <v>7005369021</v>
      </c>
      <c r="C6" s="10">
        <v>3011373971</v>
      </c>
      <c r="D6" s="48">
        <v>438</v>
      </c>
      <c r="E6" s="66">
        <v>0.1</v>
      </c>
      <c r="F6" s="88">
        <v>17</v>
      </c>
      <c r="G6" s="87">
        <v>2</v>
      </c>
      <c r="H6" s="12" t="s">
        <v>43</v>
      </c>
      <c r="I6" s="12" t="s">
        <v>43</v>
      </c>
    </row>
    <row r="7" spans="1:11" x14ac:dyDescent="0.2">
      <c r="A7" s="10" t="s">
        <v>11</v>
      </c>
      <c r="B7" s="10">
        <v>7005492088</v>
      </c>
      <c r="C7" s="10">
        <v>3001449459</v>
      </c>
      <c r="D7" s="48">
        <v>580</v>
      </c>
      <c r="E7" s="66">
        <v>0.1</v>
      </c>
      <c r="F7" s="88" t="s">
        <v>44</v>
      </c>
      <c r="G7" s="87">
        <v>2</v>
      </c>
      <c r="H7" s="12" t="s">
        <v>43</v>
      </c>
      <c r="I7" s="12" t="s">
        <v>43</v>
      </c>
    </row>
    <row r="8" spans="1:11" x14ac:dyDescent="0.2">
      <c r="A8" s="10" t="s">
        <v>11</v>
      </c>
      <c r="B8" s="10">
        <v>7005492088</v>
      </c>
      <c r="C8" s="10">
        <v>3011504476</v>
      </c>
      <c r="D8" s="48">
        <v>1440</v>
      </c>
      <c r="E8" s="66">
        <v>0.1</v>
      </c>
      <c r="F8" s="88" t="s">
        <v>44</v>
      </c>
      <c r="G8" s="87">
        <v>2</v>
      </c>
      <c r="H8" s="12" t="s">
        <v>43</v>
      </c>
      <c r="I8" s="12" t="s">
        <v>43</v>
      </c>
    </row>
    <row r="9" spans="1:11" x14ac:dyDescent="0.2">
      <c r="A9" s="10" t="s">
        <v>11</v>
      </c>
      <c r="B9" s="10">
        <v>7005492088</v>
      </c>
      <c r="C9" s="10">
        <v>3014340686</v>
      </c>
      <c r="D9" s="48">
        <v>1449</v>
      </c>
      <c r="E9" s="66">
        <v>0.1</v>
      </c>
      <c r="F9" s="88" t="s">
        <v>44</v>
      </c>
      <c r="G9" s="87">
        <v>2</v>
      </c>
      <c r="H9" s="12" t="s">
        <v>43</v>
      </c>
      <c r="I9" s="12" t="s">
        <v>43</v>
      </c>
    </row>
    <row r="10" spans="1:11" x14ac:dyDescent="0.2">
      <c r="A10" s="71" t="s">
        <v>12</v>
      </c>
      <c r="B10" s="71">
        <v>7202158396</v>
      </c>
      <c r="C10" s="71">
        <v>3002906325</v>
      </c>
      <c r="D10" s="72">
        <v>344</v>
      </c>
      <c r="E10" s="73"/>
      <c r="F10" s="89"/>
      <c r="G10" s="90"/>
      <c r="H10" s="90" t="s">
        <v>45</v>
      </c>
      <c r="I10" s="90" t="s">
        <v>45</v>
      </c>
    </row>
    <row r="11" spans="1:11" x14ac:dyDescent="0.2">
      <c r="A11" s="10" t="s">
        <v>13</v>
      </c>
      <c r="B11" s="10">
        <v>7005723073</v>
      </c>
      <c r="C11" s="10">
        <v>3002906806</v>
      </c>
      <c r="D11" s="48">
        <v>1889</v>
      </c>
      <c r="E11" s="67">
        <v>0.2</v>
      </c>
      <c r="F11" s="88">
        <v>17</v>
      </c>
      <c r="G11" s="87">
        <v>2</v>
      </c>
      <c r="H11" s="12" t="s">
        <v>43</v>
      </c>
      <c r="I11" s="12" t="s">
        <v>45</v>
      </c>
    </row>
    <row r="12" spans="1:11" x14ac:dyDescent="0.2">
      <c r="A12" s="10" t="s">
        <v>14</v>
      </c>
      <c r="B12" s="10">
        <v>7009098124</v>
      </c>
      <c r="C12" s="10">
        <v>3003388708</v>
      </c>
      <c r="D12" s="48">
        <v>4113</v>
      </c>
      <c r="E12" s="66">
        <v>0.1</v>
      </c>
      <c r="F12" s="88">
        <v>2</v>
      </c>
      <c r="G12" s="87">
        <v>1</v>
      </c>
      <c r="H12" s="12" t="s">
        <v>43</v>
      </c>
      <c r="I12" s="12" t="s">
        <v>43</v>
      </c>
    </row>
    <row r="13" spans="1:11" x14ac:dyDescent="0.2">
      <c r="A13" s="10" t="s">
        <v>14</v>
      </c>
      <c r="B13" s="10">
        <v>7009098124</v>
      </c>
      <c r="C13" s="10">
        <v>3010494037</v>
      </c>
      <c r="D13" s="48">
        <v>10520</v>
      </c>
      <c r="E13" s="66">
        <v>0.1</v>
      </c>
      <c r="F13" s="88">
        <v>26</v>
      </c>
      <c r="G13" s="87">
        <v>1</v>
      </c>
      <c r="H13" s="12" t="s">
        <v>43</v>
      </c>
      <c r="I13" s="12" t="s">
        <v>43</v>
      </c>
    </row>
    <row r="14" spans="1:11" x14ac:dyDescent="0.2">
      <c r="A14" s="10" t="s">
        <v>15</v>
      </c>
      <c r="B14" s="10">
        <v>7005719624</v>
      </c>
      <c r="C14" s="10">
        <v>3001268572</v>
      </c>
      <c r="D14" s="48">
        <v>909</v>
      </c>
      <c r="E14" s="66">
        <v>0.1</v>
      </c>
      <c r="F14" s="88">
        <v>9</v>
      </c>
      <c r="G14" s="87">
        <v>1</v>
      </c>
      <c r="H14" s="12" t="s">
        <v>43</v>
      </c>
      <c r="I14" s="12" t="s">
        <v>43</v>
      </c>
      <c r="K14" s="9"/>
    </row>
    <row r="15" spans="1:11" x14ac:dyDescent="0.2">
      <c r="A15" s="10" t="s">
        <v>16</v>
      </c>
      <c r="B15" s="10">
        <v>7005623640</v>
      </c>
      <c r="C15" s="10">
        <v>3002176022</v>
      </c>
      <c r="D15" s="48">
        <v>4986</v>
      </c>
      <c r="E15" s="67">
        <v>0.15</v>
      </c>
      <c r="F15" s="88">
        <v>17</v>
      </c>
      <c r="G15" s="87">
        <v>2</v>
      </c>
      <c r="H15" s="12" t="s">
        <v>43</v>
      </c>
      <c r="I15" s="12" t="s">
        <v>45</v>
      </c>
    </row>
    <row r="16" spans="1:11" x14ac:dyDescent="0.2">
      <c r="A16" s="71" t="s">
        <v>17</v>
      </c>
      <c r="B16" s="71">
        <v>7202048247</v>
      </c>
      <c r="C16" s="71">
        <v>3003586967</v>
      </c>
      <c r="D16" s="72">
        <v>164</v>
      </c>
      <c r="E16" s="73"/>
      <c r="F16" s="89"/>
      <c r="G16" s="90"/>
      <c r="H16" s="90" t="s">
        <v>45</v>
      </c>
      <c r="I16" s="90" t="s">
        <v>45</v>
      </c>
    </row>
    <row r="17" spans="1:10" ht="12" customHeight="1" x14ac:dyDescent="0.2">
      <c r="A17" s="71" t="s">
        <v>17</v>
      </c>
      <c r="B17" s="71">
        <v>7202048247</v>
      </c>
      <c r="C17" s="71">
        <v>3000881551</v>
      </c>
      <c r="D17" s="72">
        <v>1277</v>
      </c>
      <c r="E17" s="73"/>
      <c r="F17" s="89"/>
      <c r="G17" s="90"/>
      <c r="H17" s="90" t="s">
        <v>45</v>
      </c>
      <c r="I17" s="90" t="s">
        <v>45</v>
      </c>
      <c r="J17" s="14"/>
    </row>
    <row r="18" spans="1:10" ht="12" customHeight="1" x14ac:dyDescent="0.2">
      <c r="A18" s="10" t="s">
        <v>18</v>
      </c>
      <c r="B18" s="10">
        <v>7005634342</v>
      </c>
      <c r="C18" s="10">
        <v>3002906805</v>
      </c>
      <c r="D18" s="48">
        <v>2220</v>
      </c>
      <c r="E18" s="67">
        <v>0.2</v>
      </c>
      <c r="F18" s="88">
        <v>17</v>
      </c>
      <c r="G18" s="87">
        <v>2</v>
      </c>
      <c r="H18" s="12" t="s">
        <v>43</v>
      </c>
      <c r="I18" s="12" t="s">
        <v>43</v>
      </c>
      <c r="J18" s="14"/>
    </row>
    <row r="19" spans="1:10" ht="12" customHeight="1" x14ac:dyDescent="0.2">
      <c r="A19" s="10" t="s">
        <v>19</v>
      </c>
      <c r="B19" s="10">
        <v>7000047224</v>
      </c>
      <c r="C19" s="10">
        <v>3001450247</v>
      </c>
      <c r="D19" s="48">
        <v>1946</v>
      </c>
      <c r="E19" s="67">
        <v>0.15</v>
      </c>
      <c r="F19" s="88">
        <v>10</v>
      </c>
      <c r="G19" s="87">
        <v>1</v>
      </c>
      <c r="H19" s="12" t="s">
        <v>43</v>
      </c>
      <c r="I19" s="12" t="s">
        <v>43</v>
      </c>
      <c r="J19" s="14"/>
    </row>
    <row r="20" spans="1:10" ht="14.25" customHeight="1" x14ac:dyDescent="0.2">
      <c r="A20" s="71" t="s">
        <v>20</v>
      </c>
      <c r="B20" s="71">
        <v>7202360028</v>
      </c>
      <c r="C20" s="71">
        <v>3012107385</v>
      </c>
      <c r="D20" s="72">
        <v>274</v>
      </c>
      <c r="E20" s="73"/>
      <c r="F20" s="73"/>
      <c r="G20" s="88"/>
      <c r="H20" s="90" t="s">
        <v>45</v>
      </c>
      <c r="I20" s="90" t="s">
        <v>45</v>
      </c>
      <c r="J20" s="14"/>
    </row>
    <row r="21" spans="1:10" ht="14.25" customHeight="1" x14ac:dyDescent="0.2">
      <c r="A21" s="68" t="s">
        <v>22</v>
      </c>
      <c r="B21" s="10">
        <v>7010498067</v>
      </c>
      <c r="C21" s="10">
        <v>3013027271</v>
      </c>
      <c r="D21" s="48">
        <v>1600</v>
      </c>
      <c r="E21" s="66">
        <v>0.1</v>
      </c>
      <c r="F21" s="88">
        <v>1</v>
      </c>
      <c r="G21" s="87">
        <v>2</v>
      </c>
      <c r="H21" s="12" t="s">
        <v>43</v>
      </c>
      <c r="I21" s="12" t="s">
        <v>43</v>
      </c>
      <c r="J21" s="14"/>
    </row>
    <row r="22" spans="1:10" x14ac:dyDescent="0.2">
      <c r="A22" s="68" t="s">
        <v>25</v>
      </c>
      <c r="B22" s="10">
        <v>7005530163</v>
      </c>
      <c r="C22" s="10">
        <v>3003562994</v>
      </c>
      <c r="D22" s="48">
        <v>3808</v>
      </c>
      <c r="E22" s="67">
        <v>0.2</v>
      </c>
      <c r="F22" s="88">
        <v>3</v>
      </c>
      <c r="G22" s="92">
        <v>2</v>
      </c>
      <c r="H22" s="12" t="s">
        <v>43</v>
      </c>
      <c r="I22" s="12" t="s">
        <v>43</v>
      </c>
    </row>
    <row r="23" spans="1:10" x14ac:dyDescent="0.2">
      <c r="A23" s="10" t="s">
        <v>26</v>
      </c>
      <c r="B23" s="10">
        <v>7202402563</v>
      </c>
      <c r="C23" s="10">
        <v>3006700739</v>
      </c>
      <c r="D23" s="48">
        <v>4015</v>
      </c>
      <c r="E23" s="67">
        <v>0.15</v>
      </c>
      <c r="F23" s="88">
        <v>11</v>
      </c>
      <c r="G23" s="92">
        <v>1</v>
      </c>
      <c r="H23" s="12" t="s">
        <v>43</v>
      </c>
      <c r="I23" s="12" t="s">
        <v>43</v>
      </c>
    </row>
    <row r="24" spans="1:10" x14ac:dyDescent="0.2">
      <c r="A24" s="10" t="s">
        <v>27</v>
      </c>
      <c r="B24" s="10">
        <v>7202760807</v>
      </c>
      <c r="C24" s="10">
        <v>3012940288</v>
      </c>
      <c r="D24" s="48">
        <v>1699</v>
      </c>
      <c r="E24" s="67">
        <v>0.15</v>
      </c>
      <c r="F24" s="88">
        <v>17</v>
      </c>
      <c r="G24" s="92">
        <v>2</v>
      </c>
      <c r="H24" s="12" t="s">
        <v>43</v>
      </c>
      <c r="I24" s="12" t="s">
        <v>43</v>
      </c>
    </row>
    <row r="25" spans="1:10" x14ac:dyDescent="0.2">
      <c r="A25" s="10" t="s">
        <v>28</v>
      </c>
      <c r="B25" s="10">
        <v>7202482231</v>
      </c>
      <c r="C25" s="10">
        <v>3004607095</v>
      </c>
      <c r="D25" s="48">
        <v>251</v>
      </c>
      <c r="E25" s="67">
        <v>0.2</v>
      </c>
      <c r="F25" s="88">
        <v>6</v>
      </c>
      <c r="G25" s="92">
        <v>2</v>
      </c>
      <c r="H25" s="12" t="s">
        <v>43</v>
      </c>
      <c r="I25" s="12" t="s">
        <v>43</v>
      </c>
    </row>
    <row r="26" spans="1:10" x14ac:dyDescent="0.2">
      <c r="A26" s="10" t="s">
        <v>28</v>
      </c>
      <c r="B26" s="10">
        <v>7202482231</v>
      </c>
      <c r="C26" s="10">
        <v>3005534144</v>
      </c>
      <c r="D26" s="48">
        <v>175</v>
      </c>
      <c r="E26" s="67">
        <v>0.2</v>
      </c>
      <c r="F26" s="88">
        <v>6</v>
      </c>
      <c r="G26" s="92">
        <v>2</v>
      </c>
      <c r="H26" s="12" t="s">
        <v>43</v>
      </c>
      <c r="I26" s="12" t="s">
        <v>43</v>
      </c>
    </row>
    <row r="27" spans="1:10" x14ac:dyDescent="0.2">
      <c r="A27" s="71" t="s">
        <v>30</v>
      </c>
      <c r="B27" s="71">
        <v>7201768092</v>
      </c>
      <c r="C27" s="71">
        <v>3012189878</v>
      </c>
      <c r="D27" s="72">
        <v>603</v>
      </c>
      <c r="E27" s="73"/>
      <c r="F27" s="73"/>
      <c r="G27" s="88"/>
      <c r="H27" s="90" t="s">
        <v>45</v>
      </c>
      <c r="I27" s="90" t="s">
        <v>45</v>
      </c>
    </row>
    <row r="28" spans="1:10" x14ac:dyDescent="0.2">
      <c r="A28" s="10" t="s">
        <v>31</v>
      </c>
      <c r="B28" s="10">
        <v>7201768092</v>
      </c>
      <c r="C28" s="10">
        <v>3001450194</v>
      </c>
      <c r="D28" s="48">
        <v>460</v>
      </c>
      <c r="E28" s="67">
        <v>0.2</v>
      </c>
      <c r="F28" s="88">
        <v>11</v>
      </c>
      <c r="G28" s="92">
        <v>2</v>
      </c>
      <c r="H28" s="12" t="s">
        <v>43</v>
      </c>
      <c r="I28" s="12"/>
    </row>
    <row r="29" spans="1:10" x14ac:dyDescent="0.2">
      <c r="A29" s="71" t="s">
        <v>32</v>
      </c>
      <c r="B29" s="71">
        <v>7202360028</v>
      </c>
      <c r="C29" s="71">
        <v>3014183803</v>
      </c>
      <c r="D29" s="72">
        <v>228</v>
      </c>
      <c r="E29" s="73"/>
      <c r="F29" s="88"/>
      <c r="G29" s="90"/>
      <c r="H29" s="90" t="s">
        <v>45</v>
      </c>
      <c r="I29" s="90" t="s">
        <v>45</v>
      </c>
    </row>
    <row r="30" spans="1:10" x14ac:dyDescent="0.2">
      <c r="A30" s="10" t="s">
        <v>33</v>
      </c>
      <c r="B30" s="10">
        <v>7005466339</v>
      </c>
      <c r="C30" s="10">
        <v>3013791114</v>
      </c>
      <c r="D30" s="48">
        <v>143</v>
      </c>
      <c r="E30" s="67">
        <v>0.2</v>
      </c>
      <c r="F30" s="88">
        <v>11</v>
      </c>
      <c r="G30" s="92">
        <v>2</v>
      </c>
      <c r="H30" s="12" t="s">
        <v>43</v>
      </c>
      <c r="I30" s="12" t="s">
        <v>43</v>
      </c>
    </row>
    <row r="31" spans="1:10" x14ac:dyDescent="0.2">
      <c r="A31" s="10" t="s">
        <v>33</v>
      </c>
      <c r="B31" s="10">
        <v>7005466339</v>
      </c>
      <c r="C31" s="10">
        <v>3002619862</v>
      </c>
      <c r="D31" s="48">
        <v>200</v>
      </c>
      <c r="E31" s="67">
        <v>0.2</v>
      </c>
      <c r="F31" s="88">
        <v>11</v>
      </c>
      <c r="G31" s="92">
        <v>2</v>
      </c>
      <c r="H31" s="12" t="s">
        <v>43</v>
      </c>
      <c r="I31" s="12" t="s">
        <v>43</v>
      </c>
    </row>
    <row r="32" spans="1:10" x14ac:dyDescent="0.2">
      <c r="A32" s="70" t="s">
        <v>34</v>
      </c>
      <c r="B32" s="10">
        <v>7200135835</v>
      </c>
      <c r="C32" s="10">
        <v>3001450251</v>
      </c>
      <c r="D32" s="48">
        <v>378</v>
      </c>
      <c r="E32" s="67">
        <v>0.15</v>
      </c>
      <c r="F32" s="88">
        <v>17</v>
      </c>
      <c r="G32" s="92">
        <v>2</v>
      </c>
      <c r="H32" s="12" t="s">
        <v>43</v>
      </c>
      <c r="I32" s="12" t="s">
        <v>43</v>
      </c>
    </row>
    <row r="33" spans="1:10" x14ac:dyDescent="0.2">
      <c r="A33" s="70" t="s">
        <v>35</v>
      </c>
      <c r="B33" s="10">
        <v>7201768092</v>
      </c>
      <c r="C33" s="10">
        <v>3012262751</v>
      </c>
      <c r="D33" s="48">
        <v>264</v>
      </c>
      <c r="E33" s="67">
        <v>0.15</v>
      </c>
      <c r="F33" s="88">
        <v>11</v>
      </c>
      <c r="G33" s="92">
        <v>2</v>
      </c>
      <c r="H33" s="12" t="s">
        <v>43</v>
      </c>
      <c r="I33" s="93" t="s">
        <v>43</v>
      </c>
    </row>
    <row r="34" spans="1:10" x14ac:dyDescent="0.2">
      <c r="A34" s="70" t="s">
        <v>37</v>
      </c>
      <c r="B34" s="10">
        <v>7201768092</v>
      </c>
      <c r="C34" s="10">
        <v>3007395349</v>
      </c>
      <c r="D34" s="48">
        <v>500</v>
      </c>
      <c r="E34" s="67">
        <v>0.15</v>
      </c>
      <c r="F34" s="88">
        <v>11</v>
      </c>
      <c r="G34" s="92">
        <v>2</v>
      </c>
      <c r="H34" s="12" t="s">
        <v>43</v>
      </c>
      <c r="I34" s="12" t="s">
        <v>43</v>
      </c>
    </row>
    <row r="35" spans="1:10" x14ac:dyDescent="0.2">
      <c r="A35" s="70" t="s">
        <v>38</v>
      </c>
      <c r="B35" s="10">
        <v>7201768092</v>
      </c>
      <c r="C35" s="10">
        <v>3001780367</v>
      </c>
      <c r="D35" s="48">
        <v>208</v>
      </c>
      <c r="E35" s="67">
        <v>0.15</v>
      </c>
      <c r="F35" s="88">
        <v>11</v>
      </c>
      <c r="G35" s="92">
        <v>2</v>
      </c>
      <c r="H35" s="12" t="s">
        <v>43</v>
      </c>
      <c r="I35" s="12" t="s">
        <v>43</v>
      </c>
    </row>
    <row r="36" spans="1:10" x14ac:dyDescent="0.2">
      <c r="A36" s="70" t="s">
        <v>39</v>
      </c>
      <c r="B36" s="10">
        <v>7201768092</v>
      </c>
      <c r="C36" s="10">
        <v>3000914060</v>
      </c>
      <c r="D36" s="48">
        <v>361</v>
      </c>
      <c r="E36" s="67">
        <v>0.15</v>
      </c>
      <c r="F36" s="88">
        <v>11</v>
      </c>
      <c r="G36" s="92">
        <v>2</v>
      </c>
      <c r="H36" s="12" t="s">
        <v>43</v>
      </c>
      <c r="I36" s="12" t="s">
        <v>43</v>
      </c>
    </row>
    <row r="37" spans="1:10" x14ac:dyDescent="0.2">
      <c r="A37" s="70" t="s">
        <v>40</v>
      </c>
      <c r="B37" s="10">
        <v>7202806123</v>
      </c>
      <c r="C37" s="10">
        <v>3003198807</v>
      </c>
      <c r="D37" s="48">
        <v>2195</v>
      </c>
      <c r="E37" s="67">
        <v>0.15</v>
      </c>
      <c r="F37" s="91">
        <v>6</v>
      </c>
      <c r="G37" s="92">
        <v>2</v>
      </c>
      <c r="H37" s="12" t="s">
        <v>43</v>
      </c>
      <c r="I37" s="12" t="s">
        <v>43</v>
      </c>
    </row>
    <row r="38" spans="1:10" ht="13.5" thickBot="1" x14ac:dyDescent="0.25">
      <c r="C38" s="20" t="s">
        <v>29</v>
      </c>
      <c r="D38" s="21">
        <f>SUM(D3:D26)</f>
        <v>51078</v>
      </c>
      <c r="E38" s="22"/>
      <c r="F38" s="23"/>
      <c r="G38" s="85"/>
      <c r="H38" s="86"/>
    </row>
    <row r="39" spans="1:10" ht="13.5" thickTop="1" x14ac:dyDescent="0.2"/>
    <row r="41" spans="1:10" x14ac:dyDescent="0.2">
      <c r="A41" s="18" t="s">
        <v>46</v>
      </c>
      <c r="B41" s="18">
        <v>7202649326</v>
      </c>
      <c r="C41" s="18">
        <v>3014018953</v>
      </c>
      <c r="E41" s="67">
        <v>0.15</v>
      </c>
      <c r="F41" s="96">
        <v>17</v>
      </c>
      <c r="J41" t="s">
        <v>47</v>
      </c>
    </row>
    <row r="42" spans="1:10" x14ac:dyDescent="0.2">
      <c r="A42" s="18" t="s">
        <v>48</v>
      </c>
      <c r="B42" s="18">
        <v>7010221388</v>
      </c>
      <c r="C42" s="18">
        <v>3001348433</v>
      </c>
      <c r="E42" s="67">
        <v>0.2</v>
      </c>
      <c r="J42" t="s">
        <v>49</v>
      </c>
    </row>
    <row r="43" spans="1:10" x14ac:dyDescent="0.2">
      <c r="A43" s="18" t="s">
        <v>50</v>
      </c>
      <c r="B43" s="18">
        <v>7010540003</v>
      </c>
      <c r="C43" s="18">
        <v>3010642300</v>
      </c>
      <c r="E43" s="67">
        <v>0.2</v>
      </c>
      <c r="J43" t="s">
        <v>49</v>
      </c>
    </row>
    <row r="44" spans="1:10" x14ac:dyDescent="0.2">
      <c r="A44" s="18" t="s">
        <v>51</v>
      </c>
      <c r="B44" s="18">
        <v>7005602485</v>
      </c>
      <c r="C44" s="18">
        <v>3003245697</v>
      </c>
      <c r="E44" s="67">
        <v>0.2</v>
      </c>
      <c r="J44" t="s">
        <v>52</v>
      </c>
    </row>
    <row r="45" spans="1:10" x14ac:dyDescent="0.2">
      <c r="A45" s="18" t="s">
        <v>53</v>
      </c>
      <c r="B45" s="18">
        <v>7202646947</v>
      </c>
      <c r="C45" s="18">
        <v>3004256972</v>
      </c>
      <c r="E45" s="67">
        <v>0.2</v>
      </c>
      <c r="J45" t="s">
        <v>54</v>
      </c>
    </row>
  </sheetData>
  <autoFilter ref="A2:I38" xr:uid="{7FF2AB3C-0437-4BBB-83FA-BF0987B3E932}"/>
  <mergeCells count="1">
    <mergeCell ref="D1:F1"/>
  </mergeCells>
  <pageMargins left="0.51181102362204722" right="0.51181102362204722" top="0.78740157480314965" bottom="0.78740157480314965" header="0.31496062992125984" footer="0.31496062992125984"/>
  <pageSetup paperSize="9" scale="8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5E461-38B2-4D67-BCCF-B17F5F8FCDCD}">
  <dimension ref="A1:K54"/>
  <sheetViews>
    <sheetView zoomScaleNormal="100" workbookViewId="0">
      <pane ySplit="2" topLeftCell="A3" activePane="bottomLeft" state="frozen"/>
      <selection pane="bottomLeft" activeCell="D38" sqref="D38"/>
    </sheetView>
  </sheetViews>
  <sheetFormatPr defaultRowHeight="12.75" x14ac:dyDescent="0.2"/>
  <cols>
    <col min="1" max="1" width="32.5703125" bestFit="1" customWidth="1"/>
    <col min="2" max="2" width="16.140625" bestFit="1" customWidth="1"/>
    <col min="3" max="3" width="14.140625" bestFit="1" customWidth="1"/>
    <col min="4" max="4" width="10.140625" bestFit="1" customWidth="1"/>
    <col min="5" max="5" width="11.5703125" customWidth="1"/>
    <col min="6" max="6" width="13.140625" customWidth="1"/>
    <col min="7" max="7" width="12.140625" customWidth="1"/>
  </cols>
  <sheetData>
    <row r="1" spans="1:11" ht="16.5" thickTop="1" x14ac:dyDescent="0.25">
      <c r="A1" s="24"/>
      <c r="B1" s="25"/>
      <c r="C1" s="25"/>
      <c r="D1" s="139">
        <v>44805</v>
      </c>
      <c r="E1" s="140"/>
      <c r="F1" s="141"/>
    </row>
    <row r="2" spans="1:11" ht="30.7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61" t="s">
        <v>4</v>
      </c>
      <c r="F2" s="61" t="s">
        <v>5</v>
      </c>
      <c r="G2" s="3" t="s">
        <v>6</v>
      </c>
      <c r="H2" s="3" t="s">
        <v>41</v>
      </c>
      <c r="I2" s="3" t="s">
        <v>42</v>
      </c>
    </row>
    <row r="3" spans="1:11" x14ac:dyDescent="0.2">
      <c r="A3" s="10" t="s">
        <v>7</v>
      </c>
      <c r="B3" s="10">
        <v>7005713839</v>
      </c>
      <c r="C3" s="10">
        <v>3003858507</v>
      </c>
      <c r="D3" s="48">
        <v>686</v>
      </c>
      <c r="E3" s="66">
        <v>0.1</v>
      </c>
      <c r="F3" s="97"/>
      <c r="G3" s="87">
        <v>2</v>
      </c>
      <c r="H3" s="12"/>
      <c r="I3" s="12"/>
    </row>
    <row r="4" spans="1:11" x14ac:dyDescent="0.2">
      <c r="A4" s="10" t="s">
        <v>8</v>
      </c>
      <c r="B4" s="10">
        <v>7008528502</v>
      </c>
      <c r="C4" s="10">
        <v>3001084033</v>
      </c>
      <c r="D4" s="48">
        <v>5381</v>
      </c>
      <c r="E4" s="66">
        <v>0.1</v>
      </c>
      <c r="F4" s="97"/>
      <c r="G4" s="87">
        <v>1</v>
      </c>
      <c r="H4" s="12"/>
      <c r="I4" s="12"/>
    </row>
    <row r="5" spans="1:11" x14ac:dyDescent="0.2">
      <c r="A5" s="10" t="s">
        <v>9</v>
      </c>
      <c r="B5" s="10">
        <v>7200634170</v>
      </c>
      <c r="C5" s="10">
        <v>3012153634</v>
      </c>
      <c r="D5" s="48">
        <v>1200</v>
      </c>
      <c r="E5" s="66">
        <v>0.1</v>
      </c>
      <c r="F5" s="97"/>
      <c r="G5" s="87">
        <v>2</v>
      </c>
      <c r="H5" s="12"/>
      <c r="I5" s="12"/>
    </row>
    <row r="6" spans="1:11" x14ac:dyDescent="0.2">
      <c r="A6" s="10" t="s">
        <v>9</v>
      </c>
      <c r="B6" s="10">
        <v>7005369021</v>
      </c>
      <c r="C6" s="10">
        <v>3011373971</v>
      </c>
      <c r="D6" s="48">
        <v>557.33000000000004</v>
      </c>
      <c r="E6" s="66">
        <v>0.1</v>
      </c>
      <c r="F6" s="97"/>
      <c r="G6" s="87">
        <v>2</v>
      </c>
      <c r="H6" s="12"/>
      <c r="I6" s="12"/>
    </row>
    <row r="7" spans="1:11" x14ac:dyDescent="0.2">
      <c r="A7" s="10" t="s">
        <v>11</v>
      </c>
      <c r="B7" s="10">
        <v>7005492088</v>
      </c>
      <c r="C7" s="10">
        <v>3001449459</v>
      </c>
      <c r="D7" s="48">
        <v>700</v>
      </c>
      <c r="E7" s="66">
        <v>0.1</v>
      </c>
      <c r="F7" s="97"/>
      <c r="G7" s="87">
        <v>2</v>
      </c>
      <c r="H7" s="12"/>
      <c r="I7" s="12"/>
    </row>
    <row r="8" spans="1:11" x14ac:dyDescent="0.2">
      <c r="A8" s="10" t="s">
        <v>11</v>
      </c>
      <c r="B8" s="10">
        <v>7005492088</v>
      </c>
      <c r="C8" s="10">
        <v>3011504476</v>
      </c>
      <c r="D8" s="48">
        <v>1620</v>
      </c>
      <c r="E8" s="66">
        <v>0.1</v>
      </c>
      <c r="F8" s="97"/>
      <c r="G8" s="87">
        <v>2</v>
      </c>
      <c r="H8" s="12"/>
      <c r="I8" s="12"/>
    </row>
    <row r="9" spans="1:11" x14ac:dyDescent="0.2">
      <c r="A9" s="10" t="s">
        <v>11</v>
      </c>
      <c r="B9" s="10">
        <v>7005492088</v>
      </c>
      <c r="C9" s="10">
        <v>3014340686</v>
      </c>
      <c r="D9" s="48">
        <v>1784</v>
      </c>
      <c r="E9" s="66">
        <v>0.1</v>
      </c>
      <c r="F9" s="97"/>
      <c r="G9" s="87">
        <v>2</v>
      </c>
      <c r="H9" s="12"/>
      <c r="I9" s="12"/>
    </row>
    <row r="10" spans="1:11" x14ac:dyDescent="0.2">
      <c r="A10" s="71" t="s">
        <v>12</v>
      </c>
      <c r="B10" s="71">
        <v>7202158396</v>
      </c>
      <c r="C10" s="71">
        <v>3002906325</v>
      </c>
      <c r="D10" s="72">
        <v>429</v>
      </c>
      <c r="E10" s="73"/>
      <c r="F10" s="89"/>
      <c r="G10" s="90"/>
      <c r="H10" s="90" t="s">
        <v>45</v>
      </c>
      <c r="I10" s="90" t="s">
        <v>45</v>
      </c>
    </row>
    <row r="11" spans="1:11" x14ac:dyDescent="0.2">
      <c r="A11" s="10" t="s">
        <v>13</v>
      </c>
      <c r="B11" s="10">
        <v>7005723073</v>
      </c>
      <c r="C11" s="10">
        <v>3002906806</v>
      </c>
      <c r="D11" s="48">
        <v>2321</v>
      </c>
      <c r="E11" s="67">
        <v>0.2</v>
      </c>
      <c r="F11" s="97"/>
      <c r="G11" s="87">
        <v>2</v>
      </c>
      <c r="H11" s="12"/>
      <c r="I11" s="12"/>
    </row>
    <row r="12" spans="1:11" x14ac:dyDescent="0.2">
      <c r="A12" s="10" t="s">
        <v>14</v>
      </c>
      <c r="B12" s="10">
        <v>7009098124</v>
      </c>
      <c r="C12" s="10">
        <v>3003388708</v>
      </c>
      <c r="D12" s="48">
        <v>4392</v>
      </c>
      <c r="E12" s="66">
        <v>0.1</v>
      </c>
      <c r="F12" s="99">
        <v>44827</v>
      </c>
      <c r="G12" s="87">
        <v>1</v>
      </c>
      <c r="H12" s="12"/>
      <c r="I12" s="12"/>
    </row>
    <row r="13" spans="1:11" x14ac:dyDescent="0.2">
      <c r="A13" s="10" t="s">
        <v>14</v>
      </c>
      <c r="B13" s="10">
        <v>7009098124</v>
      </c>
      <c r="C13" s="10">
        <v>3010494037</v>
      </c>
      <c r="D13" s="48">
        <v>10920</v>
      </c>
      <c r="E13" s="66">
        <v>0.1</v>
      </c>
      <c r="F13" s="99">
        <v>44827</v>
      </c>
      <c r="G13" s="87">
        <v>1</v>
      </c>
      <c r="H13" s="12"/>
      <c r="I13" s="12"/>
    </row>
    <row r="14" spans="1:11" x14ac:dyDescent="0.2">
      <c r="A14" s="10" t="s">
        <v>15</v>
      </c>
      <c r="B14" s="10">
        <v>7005719624</v>
      </c>
      <c r="C14" s="10">
        <v>3001268572</v>
      </c>
      <c r="D14" s="48">
        <v>1323</v>
      </c>
      <c r="E14" s="66">
        <v>0.1</v>
      </c>
      <c r="F14" s="97"/>
      <c r="G14" s="87">
        <v>1</v>
      </c>
      <c r="H14" s="12"/>
      <c r="I14" s="12"/>
      <c r="K14" s="9"/>
    </row>
    <row r="15" spans="1:11" x14ac:dyDescent="0.2">
      <c r="A15" s="10" t="s">
        <v>16</v>
      </c>
      <c r="B15" s="10">
        <v>7005623640</v>
      </c>
      <c r="C15" s="10">
        <v>3002176022</v>
      </c>
      <c r="D15" s="48">
        <v>3617</v>
      </c>
      <c r="E15" s="67">
        <v>0.15</v>
      </c>
      <c r="F15" s="97">
        <v>17</v>
      </c>
      <c r="G15" s="87">
        <v>2</v>
      </c>
      <c r="H15" s="12"/>
      <c r="I15" s="12"/>
    </row>
    <row r="16" spans="1:11" x14ac:dyDescent="0.2">
      <c r="A16" s="71" t="s">
        <v>17</v>
      </c>
      <c r="B16" s="71">
        <v>7202048247</v>
      </c>
      <c r="C16" s="71">
        <v>3003586967</v>
      </c>
      <c r="D16" s="72">
        <v>167</v>
      </c>
      <c r="E16" s="73"/>
      <c r="F16" s="89"/>
      <c r="G16" s="90"/>
      <c r="H16" s="90" t="s">
        <v>45</v>
      </c>
      <c r="I16" s="90" t="s">
        <v>45</v>
      </c>
    </row>
    <row r="17" spans="1:10" ht="12" customHeight="1" x14ac:dyDescent="0.2">
      <c r="A17" s="71" t="s">
        <v>17</v>
      </c>
      <c r="B17" s="71">
        <v>7202048247</v>
      </c>
      <c r="C17" s="71">
        <v>3000881551</v>
      </c>
      <c r="D17" s="72">
        <v>1275</v>
      </c>
      <c r="E17" s="73"/>
      <c r="F17" s="89"/>
      <c r="G17" s="90"/>
      <c r="H17" s="90" t="s">
        <v>45</v>
      </c>
      <c r="I17" s="90" t="s">
        <v>45</v>
      </c>
      <c r="J17" s="14"/>
    </row>
    <row r="18" spans="1:10" ht="12" customHeight="1" x14ac:dyDescent="0.2">
      <c r="A18" s="10" t="s">
        <v>18</v>
      </c>
      <c r="B18" s="10">
        <v>7005634342</v>
      </c>
      <c r="C18" s="10">
        <v>3002906805</v>
      </c>
      <c r="D18" s="48">
        <v>2300</v>
      </c>
      <c r="E18" s="67">
        <v>0.2</v>
      </c>
      <c r="F18" s="97"/>
      <c r="G18" s="87">
        <v>2</v>
      </c>
      <c r="H18" s="12"/>
      <c r="I18" s="12"/>
      <c r="J18" s="14"/>
    </row>
    <row r="19" spans="1:10" ht="12" customHeight="1" x14ac:dyDescent="0.2">
      <c r="A19" s="10" t="s">
        <v>19</v>
      </c>
      <c r="B19" s="10">
        <v>7000047224</v>
      </c>
      <c r="C19" s="10">
        <v>3001450247</v>
      </c>
      <c r="D19" s="48">
        <v>2006</v>
      </c>
      <c r="E19" s="67">
        <v>0.15</v>
      </c>
      <c r="F19" s="97"/>
      <c r="G19" s="87">
        <v>1</v>
      </c>
      <c r="H19" s="12"/>
      <c r="I19" s="12"/>
      <c r="J19" s="14"/>
    </row>
    <row r="20" spans="1:10" ht="14.25" customHeight="1" x14ac:dyDescent="0.2">
      <c r="A20" s="71" t="s">
        <v>20</v>
      </c>
      <c r="B20" s="71">
        <v>7202360028</v>
      </c>
      <c r="C20" s="71">
        <v>3012107385</v>
      </c>
      <c r="D20" s="72">
        <v>315</v>
      </c>
      <c r="E20" s="73"/>
      <c r="F20" s="73"/>
      <c r="G20" s="73"/>
      <c r="H20" s="90" t="s">
        <v>45</v>
      </c>
      <c r="I20" s="90" t="s">
        <v>45</v>
      </c>
      <c r="J20" s="14"/>
    </row>
    <row r="21" spans="1:10" ht="14.25" customHeight="1" x14ac:dyDescent="0.2">
      <c r="A21" s="68" t="s">
        <v>22</v>
      </c>
      <c r="B21" s="10">
        <v>7010498067</v>
      </c>
      <c r="C21" s="10">
        <v>3013027271</v>
      </c>
      <c r="D21" s="48">
        <v>2060</v>
      </c>
      <c r="E21" s="66">
        <v>0.1</v>
      </c>
      <c r="F21" s="97"/>
      <c r="G21" s="87">
        <v>2</v>
      </c>
      <c r="H21" s="12"/>
      <c r="I21" s="12"/>
      <c r="J21" s="14"/>
    </row>
    <row r="22" spans="1:10" x14ac:dyDescent="0.2">
      <c r="A22" s="68" t="s">
        <v>25</v>
      </c>
      <c r="B22" s="10">
        <v>7005530163</v>
      </c>
      <c r="C22" s="10">
        <v>3003562994</v>
      </c>
      <c r="D22" s="48">
        <v>4168</v>
      </c>
      <c r="E22" s="67">
        <v>0.2</v>
      </c>
      <c r="F22" s="97"/>
      <c r="G22" s="92">
        <v>2</v>
      </c>
      <c r="H22" s="12"/>
      <c r="I22" s="12"/>
    </row>
    <row r="23" spans="1:10" x14ac:dyDescent="0.2">
      <c r="A23" s="10" t="s">
        <v>26</v>
      </c>
      <c r="B23" s="10">
        <v>7202402563</v>
      </c>
      <c r="C23" s="10">
        <v>3006700739</v>
      </c>
      <c r="D23" s="48">
        <v>3919</v>
      </c>
      <c r="E23" s="67">
        <v>0.15</v>
      </c>
      <c r="F23" s="97"/>
      <c r="G23" s="92">
        <v>1</v>
      </c>
      <c r="H23" s="12"/>
      <c r="I23" s="12"/>
    </row>
    <row r="24" spans="1:10" x14ac:dyDescent="0.2">
      <c r="A24" s="10" t="s">
        <v>27</v>
      </c>
      <c r="B24" s="10">
        <v>7202760807</v>
      </c>
      <c r="C24" s="10">
        <v>3012940288</v>
      </c>
      <c r="D24" s="48">
        <v>1828</v>
      </c>
      <c r="E24" s="67">
        <v>0.15</v>
      </c>
      <c r="F24" s="97"/>
      <c r="G24" s="92">
        <v>2</v>
      </c>
      <c r="H24" s="12"/>
      <c r="I24" s="12"/>
    </row>
    <row r="25" spans="1:10" x14ac:dyDescent="0.2">
      <c r="A25" s="10" t="s">
        <v>28</v>
      </c>
      <c r="B25" s="10">
        <v>7202482231</v>
      </c>
      <c r="C25" s="10">
        <v>3004607095</v>
      </c>
      <c r="D25" s="48">
        <v>266</v>
      </c>
      <c r="E25" s="67">
        <v>0.2</v>
      </c>
      <c r="F25" s="97"/>
      <c r="G25" s="92">
        <v>2</v>
      </c>
      <c r="H25" s="12"/>
      <c r="I25" s="12"/>
    </row>
    <row r="26" spans="1:10" x14ac:dyDescent="0.2">
      <c r="A26" s="10" t="s">
        <v>28</v>
      </c>
      <c r="B26" s="10">
        <v>7202482231</v>
      </c>
      <c r="C26" s="10">
        <v>3005534144</v>
      </c>
      <c r="D26" s="48">
        <v>194</v>
      </c>
      <c r="E26" s="67">
        <v>0.2</v>
      </c>
      <c r="F26" s="97"/>
      <c r="G26" s="92">
        <v>2</v>
      </c>
      <c r="H26" s="12"/>
      <c r="I26" s="12"/>
    </row>
    <row r="27" spans="1:10" x14ac:dyDescent="0.2">
      <c r="A27" s="71" t="s">
        <v>30</v>
      </c>
      <c r="B27" s="71">
        <v>7201768092</v>
      </c>
      <c r="C27" s="71">
        <v>3012189878</v>
      </c>
      <c r="D27" s="72">
        <v>539</v>
      </c>
      <c r="E27" s="73"/>
      <c r="F27" s="73"/>
      <c r="G27" s="88"/>
      <c r="H27" s="90" t="s">
        <v>45</v>
      </c>
      <c r="I27" s="90" t="s">
        <v>45</v>
      </c>
    </row>
    <row r="28" spans="1:10" x14ac:dyDescent="0.2">
      <c r="A28" s="10" t="s">
        <v>31</v>
      </c>
      <c r="B28" s="10">
        <v>7201768092</v>
      </c>
      <c r="C28" s="10">
        <v>3001450194</v>
      </c>
      <c r="D28" s="48">
        <v>512</v>
      </c>
      <c r="E28" s="67">
        <v>0.2</v>
      </c>
      <c r="F28" s="97"/>
      <c r="G28" s="92">
        <v>2</v>
      </c>
      <c r="H28" s="12"/>
      <c r="I28" s="12"/>
    </row>
    <row r="29" spans="1:10" x14ac:dyDescent="0.2">
      <c r="A29" s="71" t="s">
        <v>32</v>
      </c>
      <c r="B29" s="71">
        <v>7202360028</v>
      </c>
      <c r="C29" s="71">
        <v>3014183803</v>
      </c>
      <c r="D29" s="72">
        <v>257</v>
      </c>
      <c r="E29" s="73"/>
      <c r="F29" s="88"/>
      <c r="G29" s="90"/>
      <c r="H29" s="90" t="s">
        <v>45</v>
      </c>
      <c r="I29" s="90" t="s">
        <v>45</v>
      </c>
    </row>
    <row r="30" spans="1:10" x14ac:dyDescent="0.2">
      <c r="A30" s="10" t="s">
        <v>33</v>
      </c>
      <c r="B30" s="10">
        <v>7005466339</v>
      </c>
      <c r="C30" s="10">
        <v>3013791114</v>
      </c>
      <c r="D30" s="48">
        <v>174</v>
      </c>
      <c r="E30" s="67">
        <v>0.2</v>
      </c>
      <c r="F30" s="97"/>
      <c r="G30" s="92">
        <v>2</v>
      </c>
      <c r="H30" s="12"/>
      <c r="I30" s="12"/>
    </row>
    <row r="31" spans="1:10" x14ac:dyDescent="0.2">
      <c r="A31" s="10" t="s">
        <v>33</v>
      </c>
      <c r="B31" s="10">
        <v>7005466339</v>
      </c>
      <c r="C31" s="10">
        <v>3002619862</v>
      </c>
      <c r="D31" s="48">
        <v>222</v>
      </c>
      <c r="E31" s="67">
        <v>0.2</v>
      </c>
      <c r="F31" s="97"/>
      <c r="G31" s="92">
        <v>2</v>
      </c>
      <c r="H31" s="12"/>
      <c r="I31" s="12"/>
    </row>
    <row r="32" spans="1:10" x14ac:dyDescent="0.2">
      <c r="A32" s="70" t="s">
        <v>34</v>
      </c>
      <c r="B32" s="10">
        <v>7200135835</v>
      </c>
      <c r="C32" s="10">
        <v>3001450251</v>
      </c>
      <c r="D32" s="48">
        <v>468</v>
      </c>
      <c r="E32" s="67">
        <v>0.15</v>
      </c>
      <c r="F32" s="97"/>
      <c r="G32" s="92">
        <v>2</v>
      </c>
      <c r="H32" s="12"/>
      <c r="I32" s="12"/>
    </row>
    <row r="33" spans="1:10" x14ac:dyDescent="0.2">
      <c r="A33" s="70" t="s">
        <v>35</v>
      </c>
      <c r="B33" s="10">
        <v>7201768092</v>
      </c>
      <c r="C33" s="10">
        <v>3012262751</v>
      </c>
      <c r="D33" s="48">
        <v>610</v>
      </c>
      <c r="E33" s="67">
        <v>0.15</v>
      </c>
      <c r="F33" s="97"/>
      <c r="G33" s="92">
        <v>2</v>
      </c>
      <c r="H33" s="12"/>
      <c r="I33" s="93"/>
    </row>
    <row r="34" spans="1:10" x14ac:dyDescent="0.2">
      <c r="A34" s="70" t="s">
        <v>37</v>
      </c>
      <c r="B34" s="10">
        <v>7201768092</v>
      </c>
      <c r="C34" s="10">
        <v>3007395349</v>
      </c>
      <c r="D34" s="48">
        <v>249</v>
      </c>
      <c r="E34" s="67">
        <v>0.15</v>
      </c>
      <c r="F34" s="97"/>
      <c r="G34" s="92">
        <v>2</v>
      </c>
      <c r="H34" s="12"/>
      <c r="I34" s="12"/>
    </row>
    <row r="35" spans="1:10" x14ac:dyDescent="0.2">
      <c r="A35" s="70" t="s">
        <v>38</v>
      </c>
      <c r="B35" s="10">
        <v>7201768092</v>
      </c>
      <c r="C35" s="10">
        <v>3001780367</v>
      </c>
      <c r="D35" s="48">
        <v>236</v>
      </c>
      <c r="E35" s="67">
        <v>0.15</v>
      </c>
      <c r="F35" s="97"/>
      <c r="G35" s="92">
        <v>2</v>
      </c>
      <c r="H35" s="12"/>
      <c r="I35" s="12"/>
    </row>
    <row r="36" spans="1:10" x14ac:dyDescent="0.2">
      <c r="A36" s="70" t="s">
        <v>39</v>
      </c>
      <c r="B36" s="10">
        <v>7201768092</v>
      </c>
      <c r="C36" s="10">
        <v>3000914060</v>
      </c>
      <c r="D36" s="48">
        <v>355</v>
      </c>
      <c r="E36" s="67">
        <v>0.15</v>
      </c>
      <c r="F36" s="97"/>
      <c r="G36" s="92">
        <v>2</v>
      </c>
      <c r="H36" s="12"/>
      <c r="I36" s="12"/>
    </row>
    <row r="37" spans="1:10" x14ac:dyDescent="0.2">
      <c r="A37" s="70" t="s">
        <v>40</v>
      </c>
      <c r="B37" s="10">
        <v>7202806123</v>
      </c>
      <c r="C37" s="10">
        <v>3003198807</v>
      </c>
      <c r="D37" s="48">
        <v>2638</v>
      </c>
      <c r="E37" s="67">
        <v>0.15</v>
      </c>
      <c r="F37" s="98"/>
      <c r="G37" s="92">
        <v>2</v>
      </c>
      <c r="H37" s="12"/>
      <c r="I37" s="12"/>
    </row>
    <row r="38" spans="1:10" ht="13.5" thickBot="1" x14ac:dyDescent="0.25">
      <c r="C38" s="20" t="s">
        <v>29</v>
      </c>
      <c r="D38" s="21">
        <f>SUM(D3:D26)</f>
        <v>53428.33</v>
      </c>
      <c r="E38" s="22"/>
      <c r="F38" s="23"/>
      <c r="G38" s="85"/>
      <c r="H38" s="86"/>
    </row>
    <row r="39" spans="1:10" ht="13.5" thickTop="1" x14ac:dyDescent="0.2">
      <c r="C39" s="100"/>
      <c r="D39" s="101"/>
      <c r="E39" s="100"/>
      <c r="F39" s="102"/>
      <c r="G39" s="102"/>
    </row>
    <row r="40" spans="1:10" x14ac:dyDescent="0.2">
      <c r="C40" s="100"/>
      <c r="D40" s="101"/>
      <c r="E40" s="100"/>
      <c r="F40" s="102"/>
      <c r="G40" s="102"/>
    </row>
    <row r="41" spans="1:10" x14ac:dyDescent="0.2">
      <c r="C41" s="100"/>
      <c r="D41" s="101"/>
      <c r="E41" s="100"/>
      <c r="F41" s="102"/>
      <c r="G41" s="102"/>
    </row>
    <row r="43" spans="1:10" x14ac:dyDescent="0.2">
      <c r="A43" s="18" t="s">
        <v>55</v>
      </c>
      <c r="B43" s="18">
        <v>7205374759</v>
      </c>
      <c r="C43" s="18">
        <v>3002175890</v>
      </c>
      <c r="D43" s="12"/>
      <c r="E43" s="67">
        <v>0.15</v>
      </c>
      <c r="F43" s="12">
        <v>17</v>
      </c>
      <c r="G43" s="103" t="s">
        <v>56</v>
      </c>
      <c r="H43" s="12"/>
      <c r="I43" s="12"/>
      <c r="J43" s="12" t="s">
        <v>47</v>
      </c>
    </row>
    <row r="44" spans="1:10" x14ac:dyDescent="0.2">
      <c r="A44" s="18" t="s">
        <v>57</v>
      </c>
      <c r="B44" s="19">
        <v>7005439127</v>
      </c>
      <c r="C44" s="18">
        <v>3012512271</v>
      </c>
      <c r="D44" s="12"/>
      <c r="E44" s="67">
        <v>0.15</v>
      </c>
      <c r="F44" s="12">
        <v>3</v>
      </c>
      <c r="G44" s="103" t="s">
        <v>56</v>
      </c>
      <c r="H44" s="12"/>
      <c r="I44" s="12"/>
      <c r="J44" s="12" t="s">
        <v>47</v>
      </c>
    </row>
    <row r="45" spans="1:10" x14ac:dyDescent="0.2">
      <c r="A45" s="18" t="s">
        <v>58</v>
      </c>
      <c r="B45" s="19">
        <v>7200317399</v>
      </c>
      <c r="C45" s="18">
        <v>3011377412</v>
      </c>
      <c r="D45" s="12"/>
      <c r="E45" s="67">
        <v>0.2</v>
      </c>
      <c r="F45" s="12">
        <v>8</v>
      </c>
      <c r="G45" s="103" t="s">
        <v>56</v>
      </c>
      <c r="H45" s="12"/>
      <c r="I45" s="12"/>
      <c r="J45" s="12" t="s">
        <v>59</v>
      </c>
    </row>
    <row r="46" spans="1:10" x14ac:dyDescent="0.2">
      <c r="A46" s="18" t="s">
        <v>26</v>
      </c>
      <c r="B46" s="18">
        <v>7202402563</v>
      </c>
      <c r="C46" s="18">
        <v>3012307446</v>
      </c>
      <c r="D46" s="12"/>
      <c r="E46" s="12"/>
      <c r="F46" s="12"/>
      <c r="G46" s="103" t="s">
        <v>56</v>
      </c>
      <c r="H46" s="12"/>
      <c r="I46" s="12"/>
      <c r="J46" s="12"/>
    </row>
    <row r="47" spans="1:10" x14ac:dyDescent="0.2">
      <c r="A47" s="18" t="s">
        <v>46</v>
      </c>
      <c r="B47" s="18">
        <v>7202649326</v>
      </c>
      <c r="C47" s="18">
        <v>3014018953</v>
      </c>
      <c r="D47" s="12"/>
      <c r="E47" s="67">
        <v>0.15</v>
      </c>
      <c r="F47" s="12">
        <v>17</v>
      </c>
      <c r="G47" s="103" t="s">
        <v>56</v>
      </c>
      <c r="H47" s="12"/>
      <c r="I47" s="12"/>
      <c r="J47" s="12" t="s">
        <v>47</v>
      </c>
    </row>
    <row r="48" spans="1:10" x14ac:dyDescent="0.2">
      <c r="A48" s="18" t="s">
        <v>48</v>
      </c>
      <c r="B48" s="18">
        <v>7010221388</v>
      </c>
      <c r="C48" s="18">
        <v>3001348433</v>
      </c>
      <c r="D48" s="12"/>
      <c r="E48" s="67">
        <v>0.2</v>
      </c>
      <c r="F48" s="12"/>
      <c r="G48" s="103" t="s">
        <v>56</v>
      </c>
      <c r="H48" s="12"/>
      <c r="I48" s="12"/>
      <c r="J48" s="12" t="s">
        <v>49</v>
      </c>
    </row>
    <row r="49" spans="1:10" x14ac:dyDescent="0.2">
      <c r="A49" s="18" t="s">
        <v>50</v>
      </c>
      <c r="B49" s="18">
        <v>7010540003</v>
      </c>
      <c r="C49" s="18">
        <v>3010642300</v>
      </c>
      <c r="D49" s="12"/>
      <c r="E49" s="67">
        <v>0.2</v>
      </c>
      <c r="F49" s="12"/>
      <c r="G49" s="103" t="s">
        <v>56</v>
      </c>
      <c r="H49" s="12"/>
      <c r="I49" s="12"/>
      <c r="J49" s="12" t="s">
        <v>49</v>
      </c>
    </row>
    <row r="50" spans="1:10" x14ac:dyDescent="0.2">
      <c r="A50" s="18" t="s">
        <v>51</v>
      </c>
      <c r="B50" s="18">
        <v>7005602485</v>
      </c>
      <c r="C50" s="18">
        <v>3003245697</v>
      </c>
      <c r="D50" s="12"/>
      <c r="E50" s="67">
        <v>0.2</v>
      </c>
      <c r="F50" s="12"/>
      <c r="G50" s="103" t="s">
        <v>56</v>
      </c>
      <c r="H50" s="12"/>
      <c r="I50" s="12"/>
      <c r="J50" s="12" t="s">
        <v>52</v>
      </c>
    </row>
    <row r="51" spans="1:10" x14ac:dyDescent="0.2">
      <c r="A51" s="18" t="s">
        <v>53</v>
      </c>
      <c r="B51" s="18">
        <v>7202646947</v>
      </c>
      <c r="C51" s="18">
        <v>3004256972</v>
      </c>
      <c r="D51" s="12"/>
      <c r="E51" s="67">
        <v>0.2</v>
      </c>
      <c r="F51" s="12"/>
      <c r="G51" s="103" t="s">
        <v>56</v>
      </c>
      <c r="H51" s="12"/>
      <c r="I51" s="12"/>
      <c r="J51" s="12" t="s">
        <v>54</v>
      </c>
    </row>
    <row r="52" spans="1:10" x14ac:dyDescent="0.2">
      <c r="A52" s="18" t="s">
        <v>60</v>
      </c>
      <c r="B52" s="18">
        <v>7200746623</v>
      </c>
      <c r="C52" s="18">
        <v>3002725236</v>
      </c>
      <c r="D52" s="12"/>
      <c r="E52" s="67">
        <v>0.2</v>
      </c>
      <c r="F52" s="12">
        <v>17</v>
      </c>
      <c r="G52" s="103" t="s">
        <v>56</v>
      </c>
      <c r="H52" s="12"/>
      <c r="I52" s="12"/>
      <c r="J52" s="12" t="s">
        <v>49</v>
      </c>
    </row>
    <row r="53" spans="1:10" x14ac:dyDescent="0.2">
      <c r="A53" s="18" t="s">
        <v>61</v>
      </c>
      <c r="B53" s="18">
        <v>7010076392</v>
      </c>
      <c r="C53" s="18">
        <v>3011515927</v>
      </c>
      <c r="D53" s="12"/>
      <c r="E53" s="67">
        <v>0.15</v>
      </c>
      <c r="F53" s="12">
        <v>25</v>
      </c>
      <c r="G53" s="103" t="s">
        <v>56</v>
      </c>
      <c r="H53" s="12"/>
      <c r="I53" s="12"/>
      <c r="J53" s="12" t="s">
        <v>47</v>
      </c>
    </row>
    <row r="54" spans="1:10" x14ac:dyDescent="0.2">
      <c r="A54" s="18" t="str">
        <f>'Consumo Médio - Clientes'!A46</f>
        <v>Zilda Soares da Costa Ltda</v>
      </c>
      <c r="B54" s="18">
        <f>'Consumo Médio - Clientes'!B46</f>
        <v>0</v>
      </c>
      <c r="C54" s="18">
        <f>'Consumo Médio - Clientes'!C46</f>
        <v>3000886634</v>
      </c>
      <c r="D54" s="12"/>
      <c r="E54" s="67">
        <v>0.15</v>
      </c>
      <c r="F54" s="12"/>
      <c r="G54" s="103" t="s">
        <v>56</v>
      </c>
      <c r="H54" s="12"/>
      <c r="I54" s="12"/>
      <c r="J54" s="12" t="s">
        <v>47</v>
      </c>
    </row>
  </sheetData>
  <autoFilter ref="A2:I38" xr:uid="{7FF2AB3C-0437-4BBB-83FA-BF0987B3E932}"/>
  <mergeCells count="1">
    <mergeCell ref="D1:F1"/>
  </mergeCells>
  <pageMargins left="0.51181102362204722" right="0.51181102362204722" top="0.78740157480314965" bottom="0.78740157480314965" header="0.31496062992125984" footer="0.31496062992125984"/>
  <pageSetup paperSize="9" scale="8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94C27-6CA3-45E3-94DB-B1025E68BF46}">
  <dimension ref="A1:P53"/>
  <sheetViews>
    <sheetView zoomScaleNormal="100" workbookViewId="0">
      <pane ySplit="2" topLeftCell="A18" activePane="bottomLeft" state="frozen"/>
      <selection pane="bottomLeft" activeCell="F64" sqref="F64"/>
    </sheetView>
  </sheetViews>
  <sheetFormatPr defaultRowHeight="12.75" x14ac:dyDescent="0.2"/>
  <cols>
    <col min="1" max="1" width="32.5703125" bestFit="1" customWidth="1"/>
    <col min="2" max="2" width="16.140625" bestFit="1" customWidth="1"/>
    <col min="3" max="3" width="14.140625" bestFit="1" customWidth="1"/>
    <col min="4" max="4" width="10.140625" bestFit="1" customWidth="1"/>
    <col min="5" max="5" width="11.5703125" customWidth="1"/>
    <col min="6" max="6" width="13.140625" customWidth="1"/>
    <col min="7" max="7" width="12.140625" customWidth="1"/>
    <col min="8" max="8" width="3.85546875" customWidth="1"/>
    <col min="9" max="9" width="9" style="116" customWidth="1"/>
    <col min="10" max="10" width="6.5703125" style="116" customWidth="1"/>
    <col min="11" max="11" width="7" style="116" customWidth="1"/>
    <col min="12" max="12" width="8.7109375" style="116" customWidth="1"/>
    <col min="13" max="13" width="12.140625" style="116" customWidth="1"/>
    <col min="14" max="14" width="7.28515625" customWidth="1"/>
    <col min="15" max="18" width="9.140625" customWidth="1"/>
  </cols>
  <sheetData>
    <row r="1" spans="1:14" ht="35.25" thickTop="1" x14ac:dyDescent="0.25">
      <c r="A1" s="24"/>
      <c r="B1" s="25"/>
      <c r="C1" s="25"/>
      <c r="D1" s="139">
        <v>44835</v>
      </c>
      <c r="E1" s="140"/>
      <c r="F1" s="141"/>
      <c r="J1" s="112" t="s">
        <v>62</v>
      </c>
      <c r="K1" s="112" t="s">
        <v>63</v>
      </c>
      <c r="L1" s="112" t="s">
        <v>64</v>
      </c>
      <c r="M1" s="112" t="s">
        <v>65</v>
      </c>
      <c r="N1" s="112" t="s">
        <v>66</v>
      </c>
    </row>
    <row r="2" spans="1:14" ht="30.7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61" t="s">
        <v>4</v>
      </c>
      <c r="F2" s="61" t="s">
        <v>5</v>
      </c>
      <c r="G2" s="3" t="s">
        <v>6</v>
      </c>
      <c r="I2" s="113" t="s">
        <v>67</v>
      </c>
      <c r="J2" s="114">
        <v>6.8999999999999999E-3</v>
      </c>
      <c r="K2" s="114">
        <v>3.1800000000000002E-2</v>
      </c>
      <c r="L2" s="115"/>
      <c r="M2" s="115"/>
    </row>
    <row r="3" spans="1:14" x14ac:dyDescent="0.2">
      <c r="A3" s="10" t="s">
        <v>7</v>
      </c>
      <c r="B3" s="10">
        <v>7005713839</v>
      </c>
      <c r="C3" s="10">
        <v>3003858507</v>
      </c>
      <c r="D3" s="48">
        <v>1116</v>
      </c>
      <c r="E3" s="66">
        <v>0.1</v>
      </c>
      <c r="F3" s="97"/>
      <c r="G3" s="87">
        <v>2</v>
      </c>
      <c r="J3" s="142">
        <f t="shared" ref="J3:J11" si="0">I3/(1-$K$2-$J$2)</f>
        <v>0</v>
      </c>
      <c r="K3" s="142"/>
      <c r="M3" s="116">
        <f t="shared" ref="M3:M11" si="1">L3-(J3-I3)</f>
        <v>0</v>
      </c>
      <c r="N3" s="116"/>
    </row>
    <row r="4" spans="1:14" x14ac:dyDescent="0.2">
      <c r="A4" s="10" t="s">
        <v>8</v>
      </c>
      <c r="B4" s="10">
        <v>7008528502</v>
      </c>
      <c r="C4" s="10">
        <v>3001084033</v>
      </c>
      <c r="D4" s="48">
        <v>5274</v>
      </c>
      <c r="E4" s="66">
        <v>0.1</v>
      </c>
      <c r="F4" s="97"/>
      <c r="G4" s="87">
        <v>1</v>
      </c>
      <c r="I4" s="116">
        <v>0.65312999999999999</v>
      </c>
      <c r="J4" s="142">
        <f t="shared" si="0"/>
        <v>0.67942369707687511</v>
      </c>
      <c r="K4" s="142"/>
      <c r="L4" s="116">
        <v>0.74377645999999997</v>
      </c>
      <c r="M4" s="116">
        <f t="shared" si="1"/>
        <v>0.71748276292312485</v>
      </c>
      <c r="N4" s="116"/>
    </row>
    <row r="5" spans="1:14" x14ac:dyDescent="0.2">
      <c r="A5" s="10" t="s">
        <v>9</v>
      </c>
      <c r="B5" s="10">
        <v>7200634170</v>
      </c>
      <c r="C5" s="10">
        <v>3012153634</v>
      </c>
      <c r="D5" s="48">
        <v>1300</v>
      </c>
      <c r="E5" s="66">
        <v>0.1</v>
      </c>
      <c r="F5" s="97"/>
      <c r="G5" s="87">
        <v>2</v>
      </c>
      <c r="J5" s="142">
        <f t="shared" si="0"/>
        <v>0</v>
      </c>
      <c r="K5" s="142"/>
      <c r="M5" s="116">
        <f t="shared" si="1"/>
        <v>0</v>
      </c>
      <c r="N5" s="116"/>
    </row>
    <row r="6" spans="1:14" x14ac:dyDescent="0.2">
      <c r="A6" s="10" t="s">
        <v>9</v>
      </c>
      <c r="B6" s="10">
        <v>7005369021</v>
      </c>
      <c r="C6" s="10">
        <v>3011373971</v>
      </c>
      <c r="D6" s="48">
        <v>762</v>
      </c>
      <c r="E6" s="66">
        <v>0.1</v>
      </c>
      <c r="F6" s="97"/>
      <c r="G6" s="87">
        <v>2</v>
      </c>
      <c r="I6" s="116">
        <v>0.65312999999999999</v>
      </c>
      <c r="J6" s="142">
        <f t="shared" si="0"/>
        <v>0.67942369707687511</v>
      </c>
      <c r="K6" s="142"/>
      <c r="L6" s="116">
        <v>0.74377645999999997</v>
      </c>
      <c r="M6" s="116">
        <f t="shared" si="1"/>
        <v>0.71748276292312485</v>
      </c>
      <c r="N6" s="116"/>
    </row>
    <row r="7" spans="1:14" x14ac:dyDescent="0.2">
      <c r="A7" s="10" t="s">
        <v>11</v>
      </c>
      <c r="B7" s="10">
        <v>7005492088</v>
      </c>
      <c r="C7" s="10">
        <v>3001449459</v>
      </c>
      <c r="D7" s="48">
        <v>900</v>
      </c>
      <c r="E7" s="66">
        <v>0.1</v>
      </c>
      <c r="F7" s="97"/>
      <c r="G7" s="87">
        <v>2</v>
      </c>
      <c r="J7" s="142">
        <f t="shared" si="0"/>
        <v>0</v>
      </c>
      <c r="K7" s="142"/>
      <c r="M7" s="116">
        <f t="shared" si="1"/>
        <v>0</v>
      </c>
      <c r="N7" s="116"/>
    </row>
    <row r="8" spans="1:14" x14ac:dyDescent="0.2">
      <c r="A8" s="10" t="s">
        <v>11</v>
      </c>
      <c r="B8" s="10">
        <v>7005492088</v>
      </c>
      <c r="C8" s="10">
        <v>3011504476</v>
      </c>
      <c r="D8" s="48">
        <v>1625</v>
      </c>
      <c r="E8" s="66">
        <v>0.1</v>
      </c>
      <c r="F8" s="97"/>
      <c r="G8" s="87">
        <v>2</v>
      </c>
      <c r="J8" s="142">
        <f t="shared" si="0"/>
        <v>0</v>
      </c>
      <c r="K8" s="142"/>
      <c r="M8" s="116">
        <f t="shared" si="1"/>
        <v>0</v>
      </c>
      <c r="N8" s="116"/>
    </row>
    <row r="9" spans="1:14" x14ac:dyDescent="0.2">
      <c r="A9" s="10" t="s">
        <v>11</v>
      </c>
      <c r="B9" s="10">
        <v>7005492088</v>
      </c>
      <c r="C9" s="10">
        <v>3014340686</v>
      </c>
      <c r="D9" s="48">
        <v>1459</v>
      </c>
      <c r="E9" s="66">
        <v>0.1</v>
      </c>
      <c r="F9" s="97"/>
      <c r="G9" s="87">
        <v>2</v>
      </c>
      <c r="I9" s="116">
        <v>0.65312999999999999</v>
      </c>
      <c r="J9" s="142">
        <f t="shared" si="0"/>
        <v>0.67942369707687511</v>
      </c>
      <c r="K9" s="142"/>
      <c r="L9" s="116">
        <v>0.74377645999999997</v>
      </c>
      <c r="M9" s="116">
        <f t="shared" si="1"/>
        <v>0.71748276292312485</v>
      </c>
      <c r="N9" s="116"/>
    </row>
    <row r="10" spans="1:14" x14ac:dyDescent="0.2">
      <c r="A10" s="71" t="s">
        <v>12</v>
      </c>
      <c r="B10" s="71">
        <v>7202158396</v>
      </c>
      <c r="C10" s="71">
        <v>3002906325</v>
      </c>
      <c r="D10" s="72">
        <v>357</v>
      </c>
      <c r="E10" s="73"/>
      <c r="F10" s="89"/>
      <c r="G10" s="90"/>
      <c r="J10" s="142">
        <f t="shared" si="0"/>
        <v>0</v>
      </c>
      <c r="K10" s="142"/>
      <c r="M10" s="116">
        <f t="shared" si="1"/>
        <v>0</v>
      </c>
      <c r="N10" s="116"/>
    </row>
    <row r="11" spans="1:14" x14ac:dyDescent="0.2">
      <c r="A11" s="10" t="s">
        <v>13</v>
      </c>
      <c r="B11" s="10">
        <v>7005723073</v>
      </c>
      <c r="C11" s="10">
        <v>3002906806</v>
      </c>
      <c r="D11" s="48">
        <v>2064</v>
      </c>
      <c r="E11" s="67">
        <v>0.2</v>
      </c>
      <c r="F11" s="97"/>
      <c r="G11" s="87">
        <v>2</v>
      </c>
      <c r="I11" s="116">
        <v>0.65312999999999999</v>
      </c>
      <c r="J11" s="142">
        <f t="shared" si="0"/>
        <v>0.67942369707687511</v>
      </c>
      <c r="K11" s="142"/>
      <c r="L11" s="116">
        <v>0.74377645999999997</v>
      </c>
      <c r="M11" s="116">
        <f t="shared" si="1"/>
        <v>0.71748276292312485</v>
      </c>
      <c r="N11" s="116"/>
    </row>
    <row r="12" spans="1:14" x14ac:dyDescent="0.2">
      <c r="A12" s="10" t="s">
        <v>14</v>
      </c>
      <c r="B12" s="10">
        <v>7009098124</v>
      </c>
      <c r="C12" s="10">
        <v>3003388708</v>
      </c>
      <c r="D12" s="48">
        <v>3649</v>
      </c>
      <c r="E12" s="66">
        <v>0.1</v>
      </c>
      <c r="F12" s="99">
        <v>44827</v>
      </c>
      <c r="G12" s="87">
        <v>1</v>
      </c>
      <c r="I12" s="116">
        <v>0.65312999999999999</v>
      </c>
      <c r="J12" s="142">
        <f>I12/(1-$K$2-$J$2)</f>
        <v>0.67942369707687511</v>
      </c>
      <c r="K12" s="142"/>
      <c r="L12" s="116">
        <v>0.74377645999999997</v>
      </c>
      <c r="M12" s="116">
        <f>L12-(J12-I12)</f>
        <v>0.71748276292312485</v>
      </c>
      <c r="N12" s="116"/>
    </row>
    <row r="13" spans="1:14" x14ac:dyDescent="0.2">
      <c r="A13" s="10" t="s">
        <v>14</v>
      </c>
      <c r="B13" s="10">
        <v>7009098124</v>
      </c>
      <c r="C13" s="10">
        <v>3010494037</v>
      </c>
      <c r="D13" s="48">
        <v>9708</v>
      </c>
      <c r="E13" s="66">
        <v>0.1</v>
      </c>
      <c r="F13" s="99">
        <v>44827</v>
      </c>
      <c r="G13" s="87">
        <v>1</v>
      </c>
      <c r="I13" s="116">
        <v>0.65312999999999999</v>
      </c>
      <c r="J13" s="142">
        <f>I13/(1-$K$2-$J$2)</f>
        <v>0.67942369707687511</v>
      </c>
      <c r="K13" s="142"/>
      <c r="L13" s="116">
        <v>0.74377645999999997</v>
      </c>
      <c r="M13" s="116">
        <f>L13-(J13-I13)</f>
        <v>0.71748276292312485</v>
      </c>
      <c r="N13" s="116"/>
    </row>
    <row r="14" spans="1:14" x14ac:dyDescent="0.2">
      <c r="A14" s="10" t="s">
        <v>15</v>
      </c>
      <c r="B14" s="10">
        <v>7005719624</v>
      </c>
      <c r="C14" s="10">
        <v>3001268572</v>
      </c>
      <c r="D14" s="48">
        <v>856</v>
      </c>
      <c r="E14" s="66">
        <v>0.1</v>
      </c>
      <c r="F14" s="97"/>
      <c r="G14" s="87">
        <v>1</v>
      </c>
      <c r="I14" s="116">
        <v>0.65312999999999999</v>
      </c>
      <c r="J14" s="142">
        <f t="shared" ref="J14:J49" si="2">I14/(1-$K$2-$J$2)</f>
        <v>0.67942369707687511</v>
      </c>
      <c r="K14" s="142"/>
      <c r="L14" s="116">
        <v>0.74377645999999997</v>
      </c>
      <c r="M14" s="116">
        <f t="shared" ref="M14:M49" si="3">L14-(J14-I14)</f>
        <v>0.71748276292312485</v>
      </c>
      <c r="N14" s="116"/>
    </row>
    <row r="15" spans="1:14" x14ac:dyDescent="0.2">
      <c r="A15" s="10" t="s">
        <v>16</v>
      </c>
      <c r="B15" s="10">
        <v>7005623640</v>
      </c>
      <c r="C15" s="10">
        <v>3002176022</v>
      </c>
      <c r="D15" s="48">
        <v>3974</v>
      </c>
      <c r="E15" s="67">
        <v>0.15</v>
      </c>
      <c r="F15" s="97">
        <v>17</v>
      </c>
      <c r="G15" s="87">
        <v>2</v>
      </c>
      <c r="J15" s="142">
        <f t="shared" si="2"/>
        <v>0</v>
      </c>
      <c r="K15" s="142"/>
      <c r="M15" s="116">
        <f t="shared" si="3"/>
        <v>0</v>
      </c>
      <c r="N15" s="116"/>
    </row>
    <row r="16" spans="1:14" x14ac:dyDescent="0.2">
      <c r="A16" s="71" t="s">
        <v>17</v>
      </c>
      <c r="B16" s="71">
        <v>7202048247</v>
      </c>
      <c r="C16" s="71">
        <v>3003586967</v>
      </c>
      <c r="D16" s="72">
        <v>189</v>
      </c>
      <c r="E16" s="73"/>
      <c r="F16" s="89"/>
      <c r="G16" s="90"/>
      <c r="J16" s="142">
        <f t="shared" si="2"/>
        <v>0</v>
      </c>
      <c r="K16" s="142"/>
      <c r="M16" s="116">
        <f t="shared" si="3"/>
        <v>0</v>
      </c>
      <c r="N16" s="116"/>
    </row>
    <row r="17" spans="1:16" ht="12" customHeight="1" x14ac:dyDescent="0.2">
      <c r="A17" s="71" t="s">
        <v>17</v>
      </c>
      <c r="B17" s="71">
        <v>7202048247</v>
      </c>
      <c r="C17" s="71">
        <v>3000881551</v>
      </c>
      <c r="D17" s="72">
        <v>1184</v>
      </c>
      <c r="E17" s="73"/>
      <c r="F17" s="89"/>
      <c r="G17" s="90"/>
      <c r="H17" s="14"/>
      <c r="J17" s="142">
        <f t="shared" si="2"/>
        <v>0</v>
      </c>
      <c r="K17" s="142"/>
      <c r="M17" s="116">
        <f t="shared" si="3"/>
        <v>0</v>
      </c>
      <c r="N17" s="116"/>
    </row>
    <row r="18" spans="1:16" ht="12" customHeight="1" x14ac:dyDescent="0.2">
      <c r="A18" s="10" t="s">
        <v>18</v>
      </c>
      <c r="B18" s="10">
        <v>7005634342</v>
      </c>
      <c r="C18" s="10">
        <v>3002906805</v>
      </c>
      <c r="D18" s="48">
        <v>2260</v>
      </c>
      <c r="E18" s="67">
        <v>0.2</v>
      </c>
      <c r="F18" s="97"/>
      <c r="G18" s="87">
        <v>2</v>
      </c>
      <c r="H18" s="14"/>
      <c r="I18" s="116">
        <v>0.65312999999999999</v>
      </c>
      <c r="J18" s="142">
        <f t="shared" si="2"/>
        <v>0.67942369707687511</v>
      </c>
      <c r="K18" s="142"/>
      <c r="L18" s="116">
        <v>0.74377645999999997</v>
      </c>
      <c r="M18" s="116">
        <f t="shared" si="3"/>
        <v>0.71748276292312485</v>
      </c>
      <c r="N18" s="116"/>
    </row>
    <row r="19" spans="1:16" ht="12" customHeight="1" x14ac:dyDescent="0.2">
      <c r="A19" s="10" t="s">
        <v>19</v>
      </c>
      <c r="B19" s="10">
        <v>7000047224</v>
      </c>
      <c r="C19" s="10">
        <v>3001450247</v>
      </c>
      <c r="D19" s="48">
        <v>2631</v>
      </c>
      <c r="E19" s="67">
        <v>0.15</v>
      </c>
      <c r="F19" s="97"/>
      <c r="G19" s="87">
        <v>1</v>
      </c>
      <c r="H19" s="14"/>
      <c r="J19" s="142">
        <f t="shared" si="2"/>
        <v>0</v>
      </c>
      <c r="K19" s="142"/>
      <c r="M19" s="116">
        <f t="shared" si="3"/>
        <v>0</v>
      </c>
      <c r="N19" s="116"/>
    </row>
    <row r="20" spans="1:16" ht="14.25" customHeight="1" x14ac:dyDescent="0.2">
      <c r="A20" s="71" t="s">
        <v>20</v>
      </c>
      <c r="B20" s="71">
        <v>7202360028</v>
      </c>
      <c r="C20" s="71">
        <v>3012107385</v>
      </c>
      <c r="D20" s="72">
        <v>380</v>
      </c>
      <c r="E20" s="73"/>
      <c r="F20" s="73"/>
      <c r="G20" s="73"/>
      <c r="H20" s="14"/>
      <c r="J20" s="142">
        <f t="shared" si="2"/>
        <v>0</v>
      </c>
      <c r="K20" s="142"/>
      <c r="M20" s="116">
        <f t="shared" si="3"/>
        <v>0</v>
      </c>
      <c r="N20" s="116"/>
    </row>
    <row r="21" spans="1:16" ht="14.25" customHeight="1" x14ac:dyDescent="0.2">
      <c r="A21" s="68" t="s">
        <v>22</v>
      </c>
      <c r="B21" s="10">
        <v>7010498067</v>
      </c>
      <c r="C21" s="10">
        <v>3013027271</v>
      </c>
      <c r="D21" s="48">
        <v>2020</v>
      </c>
      <c r="E21" s="66">
        <v>0.1</v>
      </c>
      <c r="F21" s="97"/>
      <c r="G21" s="87">
        <v>2</v>
      </c>
      <c r="H21" s="14"/>
      <c r="I21" s="116">
        <v>0.65312999999999999</v>
      </c>
      <c r="J21" s="142">
        <f t="shared" si="2"/>
        <v>0.67942369707687511</v>
      </c>
      <c r="K21" s="142"/>
      <c r="L21" s="116">
        <v>0.74377645999999997</v>
      </c>
      <c r="M21" s="116">
        <f t="shared" si="3"/>
        <v>0.71748276292312485</v>
      </c>
      <c r="N21" s="116"/>
    </row>
    <row r="22" spans="1:16" x14ac:dyDescent="0.2">
      <c r="A22" s="68" t="s">
        <v>25</v>
      </c>
      <c r="B22" s="10">
        <v>7005530163</v>
      </c>
      <c r="C22" s="10">
        <v>3003562994</v>
      </c>
      <c r="D22" s="48">
        <v>3698</v>
      </c>
      <c r="E22" s="67">
        <v>0.2</v>
      </c>
      <c r="F22" s="97"/>
      <c r="G22" s="92">
        <v>2</v>
      </c>
      <c r="I22" s="116">
        <v>0.65312999999999999</v>
      </c>
      <c r="J22" s="142">
        <f t="shared" si="2"/>
        <v>0.67942369707687511</v>
      </c>
      <c r="K22" s="142"/>
      <c r="L22" s="116">
        <v>0.74377645999999997</v>
      </c>
      <c r="M22" s="116">
        <f t="shared" si="3"/>
        <v>0.71748276292312485</v>
      </c>
      <c r="N22" s="116"/>
    </row>
    <row r="23" spans="1:16" x14ac:dyDescent="0.2">
      <c r="A23" s="10" t="s">
        <v>26</v>
      </c>
      <c r="B23" s="10">
        <v>7202402563</v>
      </c>
      <c r="C23" s="10">
        <v>3006700739</v>
      </c>
      <c r="D23" s="48">
        <v>3928</v>
      </c>
      <c r="E23" s="67">
        <v>0.15</v>
      </c>
      <c r="F23" s="97"/>
      <c r="G23" s="92">
        <v>1</v>
      </c>
      <c r="J23" s="142">
        <f t="shared" si="2"/>
        <v>0</v>
      </c>
      <c r="K23" s="142"/>
      <c r="M23" s="116">
        <f t="shared" si="3"/>
        <v>0</v>
      </c>
      <c r="N23" s="116"/>
    </row>
    <row r="24" spans="1:16" x14ac:dyDescent="0.2">
      <c r="A24" s="70" t="s">
        <v>26</v>
      </c>
      <c r="B24" s="10">
        <v>7202402563</v>
      </c>
      <c r="C24" s="10">
        <v>3012307446</v>
      </c>
      <c r="D24" s="48">
        <v>2417</v>
      </c>
      <c r="E24" s="67">
        <v>0.15</v>
      </c>
      <c r="F24" s="12"/>
      <c r="G24" s="92"/>
      <c r="I24" s="116">
        <v>0.65312999999999999</v>
      </c>
      <c r="J24" s="142">
        <f>I24/(1-$K$2-$J$2)</f>
        <v>0.67942369707687511</v>
      </c>
      <c r="K24" s="142"/>
      <c r="L24" s="116">
        <v>0.74377645999999997</v>
      </c>
      <c r="M24" s="116">
        <f>L24-(J24-I24)</f>
        <v>0.71748276292312485</v>
      </c>
      <c r="N24" s="116"/>
    </row>
    <row r="25" spans="1:16" x14ac:dyDescent="0.2">
      <c r="A25" s="10" t="s">
        <v>27</v>
      </c>
      <c r="B25" s="10">
        <v>7202760807</v>
      </c>
      <c r="C25" s="10">
        <v>3012940288</v>
      </c>
      <c r="D25" s="48">
        <v>2166</v>
      </c>
      <c r="E25" s="67">
        <v>0.15</v>
      </c>
      <c r="F25" s="97"/>
      <c r="G25" s="92">
        <v>2</v>
      </c>
      <c r="J25" s="142">
        <f t="shared" si="2"/>
        <v>0</v>
      </c>
      <c r="K25" s="142"/>
      <c r="M25" s="116">
        <f t="shared" si="3"/>
        <v>0</v>
      </c>
      <c r="N25" s="116"/>
    </row>
    <row r="26" spans="1:16" x14ac:dyDescent="0.2">
      <c r="A26" s="10" t="s">
        <v>28</v>
      </c>
      <c r="B26" s="10">
        <v>7202482231</v>
      </c>
      <c r="C26" s="10">
        <v>3004607095</v>
      </c>
      <c r="D26" s="48">
        <v>320</v>
      </c>
      <c r="E26" s="67">
        <v>0.2</v>
      </c>
      <c r="F26" s="97"/>
      <c r="G26" s="92">
        <v>2</v>
      </c>
      <c r="I26" s="116">
        <v>0.65312999999999999</v>
      </c>
      <c r="J26" s="142">
        <f t="shared" si="2"/>
        <v>0.67942369707687511</v>
      </c>
      <c r="K26" s="142"/>
      <c r="L26" s="116">
        <v>0.74319999999999997</v>
      </c>
      <c r="M26" s="119">
        <f t="shared" si="3"/>
        <v>0.71690630292312485</v>
      </c>
      <c r="N26" s="116">
        <v>50</v>
      </c>
      <c r="O26" s="120">
        <f>(D26-N26)*M26</f>
        <v>193.56470178924371</v>
      </c>
      <c r="P26" s="120">
        <f>O26-(O26*E26)</f>
        <v>154.85176143139498</v>
      </c>
    </row>
    <row r="27" spans="1:16" x14ac:dyDescent="0.2">
      <c r="A27" s="10" t="s">
        <v>28</v>
      </c>
      <c r="B27" s="10">
        <v>7202482231</v>
      </c>
      <c r="C27" s="10">
        <v>3005534144</v>
      </c>
      <c r="D27" s="48">
        <v>191</v>
      </c>
      <c r="E27" s="67">
        <v>0.2</v>
      </c>
      <c r="F27" s="97"/>
      <c r="G27" s="92">
        <v>2</v>
      </c>
      <c r="I27" s="116">
        <v>0.65312999999999999</v>
      </c>
      <c r="J27" s="142">
        <f t="shared" si="2"/>
        <v>0.67942369707687511</v>
      </c>
      <c r="K27" s="142"/>
      <c r="L27" s="116">
        <v>0.74319999999999997</v>
      </c>
      <c r="M27" s="119">
        <f t="shared" si="3"/>
        <v>0.71690630292312485</v>
      </c>
      <c r="N27" s="116">
        <v>50</v>
      </c>
      <c r="O27" s="120">
        <f>(D27-N27)*M27</f>
        <v>101.0837887121606</v>
      </c>
      <c r="P27" s="120">
        <f>O27-(O27*E27)</f>
        <v>80.867030969728475</v>
      </c>
    </row>
    <row r="28" spans="1:16" x14ac:dyDescent="0.2">
      <c r="A28" s="71" t="s">
        <v>30</v>
      </c>
      <c r="B28" s="71">
        <v>7201768092</v>
      </c>
      <c r="C28" s="71">
        <v>3012189878</v>
      </c>
      <c r="D28" s="72">
        <v>623</v>
      </c>
      <c r="E28" s="73"/>
      <c r="F28" s="73"/>
      <c r="G28" s="73"/>
      <c r="J28" s="142">
        <f t="shared" si="2"/>
        <v>0</v>
      </c>
      <c r="K28" s="142"/>
      <c r="M28" s="116">
        <f t="shared" si="3"/>
        <v>0</v>
      </c>
      <c r="N28" s="116"/>
    </row>
    <row r="29" spans="1:16" x14ac:dyDescent="0.2">
      <c r="A29" s="10" t="s">
        <v>31</v>
      </c>
      <c r="B29" s="10">
        <v>7201768092</v>
      </c>
      <c r="C29" s="10">
        <v>3001450194</v>
      </c>
      <c r="D29" s="48">
        <v>358</v>
      </c>
      <c r="E29" s="67">
        <v>0.2</v>
      </c>
      <c r="F29" s="97"/>
      <c r="G29" s="92">
        <v>2</v>
      </c>
      <c r="I29" s="116">
        <v>0.65312999999999999</v>
      </c>
      <c r="J29" s="142">
        <f t="shared" si="2"/>
        <v>0.67942369707687511</v>
      </c>
      <c r="K29" s="142"/>
      <c r="L29" s="116">
        <v>0.74377645999999997</v>
      </c>
      <c r="M29" s="116">
        <f t="shared" si="3"/>
        <v>0.71748276292312485</v>
      </c>
      <c r="N29" s="116"/>
    </row>
    <row r="30" spans="1:16" x14ac:dyDescent="0.2">
      <c r="A30" s="71" t="s">
        <v>32</v>
      </c>
      <c r="B30" s="71">
        <v>7202360028</v>
      </c>
      <c r="C30" s="71">
        <v>3014183803</v>
      </c>
      <c r="D30" s="72">
        <v>188</v>
      </c>
      <c r="E30" s="73"/>
      <c r="F30" s="73"/>
      <c r="G30" s="90"/>
      <c r="J30" s="142">
        <f t="shared" si="2"/>
        <v>0</v>
      </c>
      <c r="K30" s="142"/>
      <c r="M30" s="116">
        <f t="shared" si="3"/>
        <v>0</v>
      </c>
      <c r="N30" s="116"/>
    </row>
    <row r="31" spans="1:16" x14ac:dyDescent="0.2">
      <c r="A31" s="10" t="s">
        <v>33</v>
      </c>
      <c r="B31" s="10">
        <v>7005466339</v>
      </c>
      <c r="C31" s="10">
        <v>3013791114</v>
      </c>
      <c r="D31" s="48">
        <v>237</v>
      </c>
      <c r="E31" s="67">
        <v>0.2</v>
      </c>
      <c r="F31" s="97"/>
      <c r="G31" s="92">
        <v>2</v>
      </c>
      <c r="J31" s="142">
        <f t="shared" si="2"/>
        <v>0</v>
      </c>
      <c r="K31" s="142"/>
      <c r="M31" s="116">
        <f t="shared" si="3"/>
        <v>0</v>
      </c>
      <c r="N31" s="116"/>
    </row>
    <row r="32" spans="1:16" x14ac:dyDescent="0.2">
      <c r="A32" s="10" t="s">
        <v>33</v>
      </c>
      <c r="B32" s="10">
        <v>7005466339</v>
      </c>
      <c r="C32" s="10">
        <v>3002619862</v>
      </c>
      <c r="D32" s="48">
        <v>350</v>
      </c>
      <c r="E32" s="67">
        <v>0.2</v>
      </c>
      <c r="F32" s="97"/>
      <c r="G32" s="92">
        <v>2</v>
      </c>
      <c r="J32" s="142">
        <f t="shared" si="2"/>
        <v>0</v>
      </c>
      <c r="K32" s="142"/>
      <c r="M32" s="116">
        <f t="shared" si="3"/>
        <v>0</v>
      </c>
      <c r="N32" s="116"/>
    </row>
    <row r="33" spans="1:16" x14ac:dyDescent="0.2">
      <c r="A33" s="70" t="s">
        <v>34</v>
      </c>
      <c r="B33" s="10">
        <v>7200135835</v>
      </c>
      <c r="C33" s="10">
        <v>3001450251</v>
      </c>
      <c r="D33" s="48">
        <v>517</v>
      </c>
      <c r="E33" s="67">
        <v>0.15</v>
      </c>
      <c r="F33" s="97"/>
      <c r="G33" s="92">
        <v>2</v>
      </c>
      <c r="J33" s="142">
        <f t="shared" si="2"/>
        <v>0</v>
      </c>
      <c r="K33" s="142"/>
      <c r="M33" s="116">
        <f t="shared" si="3"/>
        <v>0</v>
      </c>
      <c r="N33" s="116"/>
    </row>
    <row r="34" spans="1:16" x14ac:dyDescent="0.2">
      <c r="A34" s="70" t="s">
        <v>35</v>
      </c>
      <c r="B34" s="10">
        <v>7201768092</v>
      </c>
      <c r="C34" s="10">
        <v>3012262751</v>
      </c>
      <c r="D34" s="48">
        <v>323</v>
      </c>
      <c r="E34" s="67">
        <v>0.15</v>
      </c>
      <c r="F34" s="97"/>
      <c r="G34" s="92">
        <v>2</v>
      </c>
      <c r="J34" s="142">
        <f t="shared" si="2"/>
        <v>0</v>
      </c>
      <c r="K34" s="142"/>
      <c r="M34" s="116">
        <f t="shared" si="3"/>
        <v>0</v>
      </c>
      <c r="N34" s="116"/>
    </row>
    <row r="35" spans="1:16" x14ac:dyDescent="0.2">
      <c r="A35" s="70" t="s">
        <v>37</v>
      </c>
      <c r="B35" s="10">
        <v>7201768092</v>
      </c>
      <c r="C35" s="10">
        <v>3007395349</v>
      </c>
      <c r="D35" s="48">
        <v>227</v>
      </c>
      <c r="E35" s="67">
        <v>0.15</v>
      </c>
      <c r="F35" s="97"/>
      <c r="G35" s="92">
        <v>2</v>
      </c>
      <c r="J35" s="142">
        <f t="shared" si="2"/>
        <v>0</v>
      </c>
      <c r="K35" s="142"/>
      <c r="M35" s="116">
        <f t="shared" si="3"/>
        <v>0</v>
      </c>
      <c r="N35" s="116"/>
    </row>
    <row r="36" spans="1:16" x14ac:dyDescent="0.2">
      <c r="A36" s="70" t="s">
        <v>38</v>
      </c>
      <c r="B36" s="10">
        <v>7201768092</v>
      </c>
      <c r="C36" s="10">
        <v>3001780367</v>
      </c>
      <c r="D36" s="48">
        <v>193</v>
      </c>
      <c r="E36" s="67">
        <v>0.15</v>
      </c>
      <c r="F36" s="97"/>
      <c r="G36" s="92">
        <v>2</v>
      </c>
      <c r="J36" s="142">
        <f t="shared" si="2"/>
        <v>0</v>
      </c>
      <c r="K36" s="142"/>
      <c r="M36" s="116">
        <f t="shared" si="3"/>
        <v>0</v>
      </c>
      <c r="N36" s="116"/>
    </row>
    <row r="37" spans="1:16" x14ac:dyDescent="0.2">
      <c r="A37" s="70" t="s">
        <v>39</v>
      </c>
      <c r="B37" s="10">
        <v>7201768092</v>
      </c>
      <c r="C37" s="10">
        <v>3000914060</v>
      </c>
      <c r="D37" s="48">
        <v>375</v>
      </c>
      <c r="E37" s="67">
        <v>0.15</v>
      </c>
      <c r="F37" s="97"/>
      <c r="G37" s="92">
        <v>2</v>
      </c>
      <c r="I37" s="116">
        <v>0.65312999999999999</v>
      </c>
      <c r="J37" s="142">
        <f t="shared" si="2"/>
        <v>0.67942369707687511</v>
      </c>
      <c r="K37" s="142"/>
      <c r="L37" s="116">
        <v>0.74377645999999997</v>
      </c>
      <c r="N37" s="116"/>
    </row>
    <row r="38" spans="1:16" x14ac:dyDescent="0.2">
      <c r="A38" s="70" t="s">
        <v>40</v>
      </c>
      <c r="B38" s="10">
        <v>7202806123</v>
      </c>
      <c r="C38" s="10">
        <v>3003198807</v>
      </c>
      <c r="D38" s="48">
        <v>2266</v>
      </c>
      <c r="E38" s="67">
        <v>0.15</v>
      </c>
      <c r="F38" s="98"/>
      <c r="G38" s="92">
        <v>2</v>
      </c>
      <c r="I38" s="116">
        <v>0.65312999999999999</v>
      </c>
      <c r="J38" s="142">
        <f t="shared" si="2"/>
        <v>0.67942369707687511</v>
      </c>
      <c r="K38" s="142"/>
      <c r="L38" s="116">
        <v>0.74706631999999995</v>
      </c>
      <c r="M38" s="116">
        <f t="shared" si="3"/>
        <v>0.72077262292312483</v>
      </c>
      <c r="N38" s="116"/>
    </row>
    <row r="39" spans="1:16" x14ac:dyDescent="0.2">
      <c r="A39" s="70" t="s">
        <v>55</v>
      </c>
      <c r="B39" s="10">
        <v>7205374759</v>
      </c>
      <c r="C39" s="10">
        <v>3002175890</v>
      </c>
      <c r="D39" s="48">
        <v>342</v>
      </c>
      <c r="E39" s="67">
        <v>0.15</v>
      </c>
      <c r="F39" s="12">
        <v>17</v>
      </c>
      <c r="G39" s="92">
        <v>2</v>
      </c>
      <c r="I39" s="116">
        <v>0.65312999999999999</v>
      </c>
      <c r="J39" s="142">
        <f t="shared" si="2"/>
        <v>0.67942369707687511</v>
      </c>
      <c r="K39" s="142"/>
      <c r="L39" s="116">
        <v>0.74319999999999997</v>
      </c>
      <c r="M39" s="119">
        <f t="shared" si="3"/>
        <v>0.71690630292312485</v>
      </c>
      <c r="N39" s="116">
        <v>30</v>
      </c>
      <c r="O39" s="120">
        <f>(D39-N39)*M39</f>
        <v>223.67476651201494</v>
      </c>
      <c r="P39" s="120">
        <f>O39-(O39*E39)</f>
        <v>190.1235515352127</v>
      </c>
    </row>
    <row r="40" spans="1:16" x14ac:dyDescent="0.2">
      <c r="A40" s="70" t="s">
        <v>57</v>
      </c>
      <c r="B40" s="10">
        <v>7005439127</v>
      </c>
      <c r="C40" s="10">
        <v>3012512271</v>
      </c>
      <c r="D40" s="48">
        <v>348</v>
      </c>
      <c r="E40" s="67">
        <v>0.15</v>
      </c>
      <c r="F40" s="12">
        <v>3</v>
      </c>
      <c r="G40" s="92">
        <v>2</v>
      </c>
      <c r="I40" s="116">
        <v>0.65312999999999999</v>
      </c>
      <c r="J40" s="142">
        <f t="shared" si="2"/>
        <v>0.67942369707687511</v>
      </c>
      <c r="K40" s="142"/>
      <c r="L40" s="116">
        <v>0.74319999999999997</v>
      </c>
      <c r="M40" s="119">
        <f t="shared" si="3"/>
        <v>0.71690630292312485</v>
      </c>
      <c r="N40" s="116">
        <v>50</v>
      </c>
      <c r="O40" s="120">
        <f>(D40-N40)*M40</f>
        <v>213.63807827109122</v>
      </c>
      <c r="P40" s="120">
        <f>O40-(O40*E40)</f>
        <v>181.59236653042754</v>
      </c>
    </row>
    <row r="41" spans="1:16" x14ac:dyDescent="0.2">
      <c r="A41" s="70" t="s">
        <v>58</v>
      </c>
      <c r="B41" s="10">
        <v>7200317399</v>
      </c>
      <c r="C41" s="10">
        <v>3011377412</v>
      </c>
      <c r="D41" s="48">
        <v>1184</v>
      </c>
      <c r="E41" s="67">
        <v>0.2</v>
      </c>
      <c r="F41" s="12">
        <v>8</v>
      </c>
      <c r="G41" s="92">
        <v>2</v>
      </c>
      <c r="J41" s="142">
        <f t="shared" si="2"/>
        <v>0</v>
      </c>
      <c r="K41" s="142"/>
      <c r="M41" s="116">
        <f t="shared" si="3"/>
        <v>0</v>
      </c>
      <c r="N41" s="116"/>
    </row>
    <row r="42" spans="1:16" x14ac:dyDescent="0.2">
      <c r="A42" s="70" t="s">
        <v>46</v>
      </c>
      <c r="B42" s="10">
        <v>7202649326</v>
      </c>
      <c r="C42" s="10">
        <v>3014018953</v>
      </c>
      <c r="D42" s="48">
        <v>1480</v>
      </c>
      <c r="E42" s="67">
        <v>0.15</v>
      </c>
      <c r="F42" s="12">
        <v>17</v>
      </c>
      <c r="G42" s="92">
        <v>2</v>
      </c>
      <c r="I42" s="116">
        <v>0.65312999999999999</v>
      </c>
      <c r="J42" s="142">
        <f t="shared" si="2"/>
        <v>0.67942369707687511</v>
      </c>
      <c r="K42" s="142"/>
      <c r="L42" s="116">
        <f>74.36/100</f>
        <v>0.74360000000000004</v>
      </c>
      <c r="M42" s="116">
        <f t="shared" si="3"/>
        <v>0.71730630292312492</v>
      </c>
      <c r="N42" s="116">
        <v>74.36</v>
      </c>
      <c r="O42" s="120">
        <f>(D42-100)*M42</f>
        <v>989.88269803391233</v>
      </c>
      <c r="P42" s="120">
        <f>O42-(O42*E42)</f>
        <v>841.40029332882546</v>
      </c>
    </row>
    <row r="43" spans="1:16" x14ac:dyDescent="0.2">
      <c r="A43" s="70" t="s">
        <v>48</v>
      </c>
      <c r="B43" s="10">
        <v>7010221388</v>
      </c>
      <c r="C43" s="10">
        <v>3001348433</v>
      </c>
      <c r="D43" s="48">
        <v>710</v>
      </c>
      <c r="E43" s="67">
        <v>0.2</v>
      </c>
      <c r="F43" s="12"/>
      <c r="G43" s="92">
        <v>2</v>
      </c>
      <c r="I43" s="116">
        <v>0.65312999999999999</v>
      </c>
      <c r="J43" s="142">
        <f t="shared" si="2"/>
        <v>0.67942369707687511</v>
      </c>
      <c r="K43" s="142"/>
      <c r="L43" s="116">
        <v>0.74377645999999997</v>
      </c>
      <c r="M43" s="116">
        <f t="shared" si="3"/>
        <v>0.71748276292312485</v>
      </c>
      <c r="N43" s="116"/>
    </row>
    <row r="44" spans="1:16" x14ac:dyDescent="0.2">
      <c r="A44" s="70" t="s">
        <v>50</v>
      </c>
      <c r="B44" s="10">
        <v>7010540003</v>
      </c>
      <c r="C44" s="10">
        <v>3010642300</v>
      </c>
      <c r="D44" s="48">
        <v>423</v>
      </c>
      <c r="E44" s="67">
        <v>0.2</v>
      </c>
      <c r="F44" s="12"/>
      <c r="G44" s="92">
        <v>2</v>
      </c>
      <c r="I44" s="116">
        <v>0.65312999999999999</v>
      </c>
      <c r="J44" s="142">
        <f t="shared" si="2"/>
        <v>0.67942369707687511</v>
      </c>
      <c r="K44" s="142"/>
      <c r="L44" s="116">
        <v>0.74319999999999997</v>
      </c>
      <c r="M44" s="119">
        <f t="shared" si="3"/>
        <v>0.71690630292312485</v>
      </c>
      <c r="N44" s="116">
        <v>50</v>
      </c>
      <c r="O44" s="120">
        <f>(D44-N44)*M44</f>
        <v>267.40605099032558</v>
      </c>
      <c r="P44" s="120">
        <f>O44-(O44*E44)</f>
        <v>213.92484079226045</v>
      </c>
    </row>
    <row r="45" spans="1:16" x14ac:dyDescent="0.2">
      <c r="A45" s="70" t="s">
        <v>51</v>
      </c>
      <c r="B45" s="10">
        <v>7005602485</v>
      </c>
      <c r="C45" s="10">
        <v>3003245697</v>
      </c>
      <c r="D45" s="48">
        <v>1495</v>
      </c>
      <c r="E45" s="67">
        <v>0.2</v>
      </c>
      <c r="F45" s="12"/>
      <c r="G45" s="92">
        <v>2</v>
      </c>
      <c r="I45" s="116">
        <v>0.65312999999999999</v>
      </c>
      <c r="J45" s="142">
        <f t="shared" si="2"/>
        <v>0.67942369707687511</v>
      </c>
      <c r="K45" s="142"/>
      <c r="L45" s="116">
        <f>37.16/50</f>
        <v>0.74319999999999997</v>
      </c>
      <c r="M45" s="119">
        <f t="shared" si="3"/>
        <v>0.71690630292312485</v>
      </c>
      <c r="N45" s="116">
        <v>50</v>
      </c>
      <c r="O45" s="120">
        <f>(D45-N45)*M45</f>
        <v>1035.9296077239153</v>
      </c>
      <c r="P45" s="120">
        <f>O45-(O45*E45)</f>
        <v>828.74368617913228</v>
      </c>
    </row>
    <row r="46" spans="1:16" x14ac:dyDescent="0.2">
      <c r="A46" s="70" t="s">
        <v>53</v>
      </c>
      <c r="B46" s="10">
        <v>7202646947</v>
      </c>
      <c r="C46" s="10">
        <v>3004256972</v>
      </c>
      <c r="D46" s="48">
        <v>3887</v>
      </c>
      <c r="E46" s="67">
        <v>0.2</v>
      </c>
      <c r="F46" s="118">
        <v>44861</v>
      </c>
      <c r="G46" s="92">
        <v>2</v>
      </c>
      <c r="I46" s="116">
        <v>0.65312999999999999</v>
      </c>
      <c r="J46" s="142">
        <f t="shared" si="2"/>
        <v>0.67942369707687511</v>
      </c>
      <c r="K46" s="142"/>
      <c r="L46" s="116">
        <v>0.74377645999999997</v>
      </c>
      <c r="M46" s="116">
        <f t="shared" si="3"/>
        <v>0.71748276292312485</v>
      </c>
      <c r="N46" s="116"/>
    </row>
    <row r="47" spans="1:16" x14ac:dyDescent="0.2">
      <c r="A47" s="70" t="s">
        <v>60</v>
      </c>
      <c r="B47" s="10">
        <v>7200746623</v>
      </c>
      <c r="C47" s="10">
        <v>3002725236</v>
      </c>
      <c r="D47" s="48">
        <v>2049</v>
      </c>
      <c r="E47" s="67">
        <v>0.2</v>
      </c>
      <c r="F47" s="12">
        <v>17</v>
      </c>
      <c r="G47" s="92">
        <v>2</v>
      </c>
      <c r="I47" s="116">
        <v>0.65312999999999999</v>
      </c>
      <c r="J47" s="142">
        <f t="shared" si="2"/>
        <v>0.67942369707687511</v>
      </c>
      <c r="K47" s="142"/>
      <c r="L47" s="116">
        <v>0.74377645999999997</v>
      </c>
      <c r="M47" s="116">
        <f t="shared" si="3"/>
        <v>0.71748276292312485</v>
      </c>
      <c r="N47" s="116"/>
    </row>
    <row r="48" spans="1:16" x14ac:dyDescent="0.2">
      <c r="A48" s="70" t="s">
        <v>61</v>
      </c>
      <c r="B48" s="10">
        <v>7010076392</v>
      </c>
      <c r="C48" s="10">
        <v>3011515927</v>
      </c>
      <c r="D48" s="48">
        <v>1652</v>
      </c>
      <c r="E48" s="67">
        <v>0.15</v>
      </c>
      <c r="F48" s="12">
        <v>25</v>
      </c>
      <c r="G48" s="92">
        <v>2</v>
      </c>
      <c r="I48" s="116">
        <v>0.65312999999999999</v>
      </c>
      <c r="J48" s="142">
        <f t="shared" si="2"/>
        <v>0.67942369707687511</v>
      </c>
      <c r="K48" s="142"/>
      <c r="L48" s="116">
        <v>0.74319999999999997</v>
      </c>
      <c r="M48" s="119">
        <f t="shared" si="3"/>
        <v>0.71690630292312485</v>
      </c>
      <c r="N48" s="116">
        <v>50</v>
      </c>
      <c r="O48" s="120">
        <f>(D48-N48)*M48</f>
        <v>1148.4838972828461</v>
      </c>
      <c r="P48" s="120">
        <f>O48-(O48*E48)</f>
        <v>976.21131269041916</v>
      </c>
    </row>
    <row r="49" spans="1:14" ht="13.5" thickBot="1" x14ac:dyDescent="0.25">
      <c r="A49" s="70" t="s">
        <v>68</v>
      </c>
      <c r="B49" s="10">
        <v>0</v>
      </c>
      <c r="C49" s="105">
        <v>3000886634</v>
      </c>
      <c r="D49" s="106">
        <v>0</v>
      </c>
      <c r="E49" s="107">
        <v>0.15</v>
      </c>
      <c r="F49" s="104"/>
      <c r="G49" s="92">
        <v>2</v>
      </c>
      <c r="J49" s="142">
        <f t="shared" si="2"/>
        <v>0</v>
      </c>
      <c r="K49" s="142"/>
      <c r="M49" s="116">
        <f t="shared" si="3"/>
        <v>0</v>
      </c>
      <c r="N49" s="116"/>
    </row>
    <row r="50" spans="1:14" ht="13.5" thickBot="1" x14ac:dyDescent="0.25">
      <c r="C50" s="108" t="s">
        <v>29</v>
      </c>
      <c r="D50" s="109">
        <f>SUM(D3:D27)</f>
        <v>54428</v>
      </c>
      <c r="E50" s="110"/>
      <c r="F50" s="111"/>
    </row>
    <row r="51" spans="1:14" x14ac:dyDescent="0.2">
      <c r="C51" s="100"/>
      <c r="D51" s="101"/>
      <c r="E51" s="100"/>
      <c r="F51" s="102"/>
      <c r="G51" s="102"/>
    </row>
    <row r="52" spans="1:14" x14ac:dyDescent="0.2">
      <c r="C52" s="100"/>
      <c r="D52" s="101"/>
      <c r="E52" s="100"/>
      <c r="F52" s="102"/>
      <c r="G52" s="102"/>
    </row>
    <row r="53" spans="1:14" x14ac:dyDescent="0.2">
      <c r="C53" s="100"/>
      <c r="D53" s="101"/>
      <c r="E53" s="100"/>
      <c r="F53" s="102"/>
      <c r="G53" s="102"/>
      <c r="M53" s="117"/>
    </row>
  </sheetData>
  <autoFilter ref="A2:G50" xr:uid="{7FF2AB3C-0437-4BBB-83FA-BF0987B3E932}"/>
  <mergeCells count="48">
    <mergeCell ref="D1:F1"/>
    <mergeCell ref="J12:K12"/>
    <mergeCell ref="J13:K13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4:K14"/>
    <mergeCell ref="J15:K15"/>
    <mergeCell ref="J16:K16"/>
    <mergeCell ref="J17:K17"/>
    <mergeCell ref="J18:K18"/>
    <mergeCell ref="J26:K26"/>
    <mergeCell ref="J27:K27"/>
    <mergeCell ref="J28:K28"/>
    <mergeCell ref="J29:K29"/>
    <mergeCell ref="J19:K19"/>
    <mergeCell ref="J20:K20"/>
    <mergeCell ref="J21:K21"/>
    <mergeCell ref="J22:K22"/>
    <mergeCell ref="J23:K23"/>
    <mergeCell ref="J40:K40"/>
    <mergeCell ref="J41:K41"/>
    <mergeCell ref="J24:K24"/>
    <mergeCell ref="J42:K42"/>
    <mergeCell ref="J43:K43"/>
    <mergeCell ref="J35:K35"/>
    <mergeCell ref="J36:K36"/>
    <mergeCell ref="J37:K37"/>
    <mergeCell ref="J38:K38"/>
    <mergeCell ref="J39:K39"/>
    <mergeCell ref="J30:K30"/>
    <mergeCell ref="J31:K31"/>
    <mergeCell ref="J32:K32"/>
    <mergeCell ref="J33:K33"/>
    <mergeCell ref="J34:K34"/>
    <mergeCell ref="J25:K25"/>
    <mergeCell ref="J49:K49"/>
    <mergeCell ref="J44:K44"/>
    <mergeCell ref="J45:K45"/>
    <mergeCell ref="J46:K46"/>
    <mergeCell ref="J47:K47"/>
    <mergeCell ref="J48:K48"/>
  </mergeCells>
  <pageMargins left="0.51181102362204722" right="0.51181102362204722" top="0.78740157480314965" bottom="0.78740157480314965" header="0.31496062992125984" footer="0.31496062992125984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1BA08-279C-4CF1-B850-D8ABEE4F55CC}">
  <dimension ref="A1:K53"/>
  <sheetViews>
    <sheetView zoomScaleNormal="100" workbookViewId="0">
      <pane ySplit="2" topLeftCell="A18" activePane="bottomLeft" state="frozen"/>
      <selection pane="bottomLeft" activeCell="K19" sqref="K19"/>
    </sheetView>
  </sheetViews>
  <sheetFormatPr defaultRowHeight="12.75" x14ac:dyDescent="0.2"/>
  <cols>
    <col min="1" max="1" width="32.5703125" bestFit="1" customWidth="1"/>
    <col min="2" max="2" width="16.140625" bestFit="1" customWidth="1"/>
    <col min="3" max="3" width="14.140625" bestFit="1" customWidth="1"/>
    <col min="4" max="4" width="10.140625" bestFit="1" customWidth="1"/>
    <col min="5" max="5" width="11.5703125" customWidth="1"/>
    <col min="6" max="6" width="13.140625" customWidth="1"/>
    <col min="7" max="7" width="12.140625" customWidth="1"/>
  </cols>
  <sheetData>
    <row r="1" spans="1:11" ht="16.5" thickTop="1" x14ac:dyDescent="0.25">
      <c r="A1" s="24"/>
      <c r="B1" s="25"/>
      <c r="C1" s="25"/>
      <c r="D1" s="139">
        <v>44866</v>
      </c>
      <c r="E1" s="140"/>
      <c r="F1" s="141"/>
    </row>
    <row r="2" spans="1:11" ht="30.7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61" t="s">
        <v>4</v>
      </c>
      <c r="F2" s="61" t="s">
        <v>5</v>
      </c>
      <c r="G2" s="3" t="s">
        <v>6</v>
      </c>
      <c r="H2" s="3" t="s">
        <v>41</v>
      </c>
      <c r="I2" s="3" t="s">
        <v>42</v>
      </c>
    </row>
    <row r="3" spans="1:11" x14ac:dyDescent="0.2">
      <c r="A3" s="10" t="s">
        <v>7</v>
      </c>
      <c r="B3" s="10">
        <v>7005713839</v>
      </c>
      <c r="C3" s="10">
        <v>3003858507</v>
      </c>
      <c r="D3" s="48"/>
      <c r="E3" s="66">
        <v>0.1</v>
      </c>
      <c r="F3" s="97"/>
      <c r="G3" s="87">
        <v>2</v>
      </c>
      <c r="H3" s="12"/>
      <c r="I3" s="12"/>
    </row>
    <row r="4" spans="1:11" x14ac:dyDescent="0.2">
      <c r="A4" s="10" t="s">
        <v>8</v>
      </c>
      <c r="B4" s="10">
        <v>7008528502</v>
      </c>
      <c r="C4" s="10">
        <v>3001084033</v>
      </c>
      <c r="D4" s="48"/>
      <c r="E4" s="66">
        <v>0.1</v>
      </c>
      <c r="F4" s="97"/>
      <c r="G4" s="87">
        <v>1</v>
      </c>
      <c r="H4" s="12"/>
      <c r="I4" s="12"/>
    </row>
    <row r="5" spans="1:11" x14ac:dyDescent="0.2">
      <c r="A5" s="10" t="s">
        <v>9</v>
      </c>
      <c r="B5" s="10">
        <v>7200634170</v>
      </c>
      <c r="C5" s="10">
        <v>3012153634</v>
      </c>
      <c r="D5" s="48"/>
      <c r="E5" s="66">
        <v>0.1</v>
      </c>
      <c r="F5" s="97"/>
      <c r="G5" s="87">
        <v>2</v>
      </c>
      <c r="H5" s="12"/>
      <c r="I5" s="12"/>
    </row>
    <row r="6" spans="1:11" x14ac:dyDescent="0.2">
      <c r="A6" s="10" t="s">
        <v>9</v>
      </c>
      <c r="B6" s="10">
        <v>7005369021</v>
      </c>
      <c r="C6" s="10">
        <v>3011373971</v>
      </c>
      <c r="D6" s="48"/>
      <c r="E6" s="66">
        <v>0.1</v>
      </c>
      <c r="F6" s="97"/>
      <c r="G6" s="87">
        <v>2</v>
      </c>
      <c r="H6" s="12"/>
      <c r="I6" s="12"/>
    </row>
    <row r="7" spans="1:11" x14ac:dyDescent="0.2">
      <c r="A7" s="10" t="s">
        <v>11</v>
      </c>
      <c r="B7" s="10">
        <v>7005492088</v>
      </c>
      <c r="C7" s="10">
        <v>3001449459</v>
      </c>
      <c r="D7" s="48"/>
      <c r="E7" s="66">
        <v>0.1</v>
      </c>
      <c r="F7" s="97"/>
      <c r="G7" s="87">
        <v>2</v>
      </c>
      <c r="H7" s="12"/>
      <c r="I7" s="12"/>
    </row>
    <row r="8" spans="1:11" x14ac:dyDescent="0.2">
      <c r="A8" s="10" t="s">
        <v>11</v>
      </c>
      <c r="B8" s="10">
        <v>7005492088</v>
      </c>
      <c r="C8" s="10">
        <v>3011504476</v>
      </c>
      <c r="D8" s="48"/>
      <c r="E8" s="66">
        <v>0.1</v>
      </c>
      <c r="F8" s="97"/>
      <c r="G8" s="87">
        <v>2</v>
      </c>
      <c r="H8" s="12"/>
      <c r="I8" s="12"/>
    </row>
    <row r="9" spans="1:11" x14ac:dyDescent="0.2">
      <c r="A9" s="10" t="s">
        <v>11</v>
      </c>
      <c r="B9" s="10">
        <v>7005492088</v>
      </c>
      <c r="C9" s="10">
        <v>3014340686</v>
      </c>
      <c r="D9" s="48"/>
      <c r="E9" s="66">
        <v>0.1</v>
      </c>
      <c r="F9" s="97"/>
      <c r="G9" s="87">
        <v>2</v>
      </c>
      <c r="H9" s="12"/>
      <c r="I9" s="12"/>
    </row>
    <row r="10" spans="1:11" x14ac:dyDescent="0.2">
      <c r="A10" s="71" t="s">
        <v>12</v>
      </c>
      <c r="B10" s="71">
        <v>7202158396</v>
      </c>
      <c r="C10" s="71">
        <v>3002906325</v>
      </c>
      <c r="D10" s="72"/>
      <c r="E10" s="73"/>
      <c r="F10" s="89"/>
      <c r="G10" s="90"/>
      <c r="H10" s="90" t="s">
        <v>45</v>
      </c>
      <c r="I10" s="90" t="s">
        <v>45</v>
      </c>
    </row>
    <row r="11" spans="1:11" x14ac:dyDescent="0.2">
      <c r="A11" s="10" t="s">
        <v>13</v>
      </c>
      <c r="B11" s="10">
        <v>7005723073</v>
      </c>
      <c r="C11" s="10">
        <v>3002906806</v>
      </c>
      <c r="D11" s="48"/>
      <c r="E11" s="67">
        <v>0.2</v>
      </c>
      <c r="F11" s="97"/>
      <c r="G11" s="87">
        <v>2</v>
      </c>
      <c r="H11" s="12"/>
      <c r="I11" s="12"/>
    </row>
    <row r="12" spans="1:11" x14ac:dyDescent="0.2">
      <c r="A12" s="10" t="s">
        <v>14</v>
      </c>
      <c r="B12" s="10">
        <v>7009098124</v>
      </c>
      <c r="C12" s="10">
        <v>3003388708</v>
      </c>
      <c r="D12" s="48"/>
      <c r="E12" s="66">
        <v>0.1</v>
      </c>
      <c r="F12" s="99">
        <v>44827</v>
      </c>
      <c r="G12" s="87">
        <v>1</v>
      </c>
      <c r="H12" s="12"/>
      <c r="I12" s="12"/>
    </row>
    <row r="13" spans="1:11" x14ac:dyDescent="0.2">
      <c r="A13" s="10" t="s">
        <v>14</v>
      </c>
      <c r="B13" s="10">
        <v>7009098124</v>
      </c>
      <c r="C13" s="10">
        <v>3010494037</v>
      </c>
      <c r="D13" s="48"/>
      <c r="E13" s="66">
        <v>0.1</v>
      </c>
      <c r="F13" s="99">
        <v>44827</v>
      </c>
      <c r="G13" s="87">
        <v>1</v>
      </c>
      <c r="H13" s="12"/>
      <c r="I13" s="12"/>
    </row>
    <row r="14" spans="1:11" x14ac:dyDescent="0.2">
      <c r="A14" s="10" t="s">
        <v>15</v>
      </c>
      <c r="B14" s="10">
        <v>7005719624</v>
      </c>
      <c r="C14" s="10">
        <v>3001268572</v>
      </c>
      <c r="D14" s="48"/>
      <c r="E14" s="66">
        <v>0.1</v>
      </c>
      <c r="F14" s="97"/>
      <c r="G14" s="87">
        <v>1</v>
      </c>
      <c r="H14" s="12"/>
      <c r="I14" s="12"/>
      <c r="K14" s="9"/>
    </row>
    <row r="15" spans="1:11" x14ac:dyDescent="0.2">
      <c r="A15" s="10" t="s">
        <v>16</v>
      </c>
      <c r="B15" s="10">
        <v>7005623640</v>
      </c>
      <c r="C15" s="10">
        <v>3002176022</v>
      </c>
      <c r="D15" s="48"/>
      <c r="E15" s="67">
        <v>0.15</v>
      </c>
      <c r="F15" s="97">
        <v>17</v>
      </c>
      <c r="G15" s="87">
        <v>2</v>
      </c>
      <c r="H15" s="12"/>
      <c r="I15" s="12"/>
    </row>
    <row r="16" spans="1:11" x14ac:dyDescent="0.2">
      <c r="A16" s="71" t="s">
        <v>17</v>
      </c>
      <c r="B16" s="71">
        <v>7202048247</v>
      </c>
      <c r="C16" s="71">
        <v>3003586967</v>
      </c>
      <c r="D16" s="72"/>
      <c r="E16" s="73"/>
      <c r="F16" s="89"/>
      <c r="G16" s="90"/>
      <c r="H16" s="90" t="s">
        <v>45</v>
      </c>
      <c r="I16" s="90" t="s">
        <v>45</v>
      </c>
    </row>
    <row r="17" spans="1:10" ht="12" customHeight="1" x14ac:dyDescent="0.2">
      <c r="A17" s="71" t="s">
        <v>17</v>
      </c>
      <c r="B17" s="71">
        <v>7202048247</v>
      </c>
      <c r="C17" s="71">
        <v>3000881551</v>
      </c>
      <c r="D17" s="72"/>
      <c r="E17" s="73"/>
      <c r="F17" s="89"/>
      <c r="G17" s="90"/>
      <c r="H17" s="90" t="s">
        <v>45</v>
      </c>
      <c r="I17" s="90" t="s">
        <v>45</v>
      </c>
      <c r="J17" s="14"/>
    </row>
    <row r="18" spans="1:10" ht="12" customHeight="1" x14ac:dyDescent="0.2">
      <c r="A18" s="10" t="s">
        <v>18</v>
      </c>
      <c r="B18" s="10">
        <v>7005634342</v>
      </c>
      <c r="C18" s="10">
        <v>3002906805</v>
      </c>
      <c r="D18" s="48"/>
      <c r="E18" s="67">
        <v>0.2</v>
      </c>
      <c r="F18" s="97"/>
      <c r="G18" s="87">
        <v>2</v>
      </c>
      <c r="H18" s="12"/>
      <c r="I18" s="12"/>
      <c r="J18" s="14"/>
    </row>
    <row r="19" spans="1:10" ht="12" customHeight="1" x14ac:dyDescent="0.2">
      <c r="A19" s="10" t="s">
        <v>19</v>
      </c>
      <c r="B19" s="10">
        <v>7000047224</v>
      </c>
      <c r="C19" s="10">
        <v>3001450247</v>
      </c>
      <c r="D19" s="48"/>
      <c r="E19" s="67">
        <v>0.15</v>
      </c>
      <c r="F19" s="97"/>
      <c r="G19" s="87">
        <v>1</v>
      </c>
      <c r="H19" s="12"/>
      <c r="I19" s="12"/>
      <c r="J19" s="14"/>
    </row>
    <row r="20" spans="1:10" ht="14.25" customHeight="1" x14ac:dyDescent="0.2">
      <c r="A20" s="71" t="s">
        <v>20</v>
      </c>
      <c r="B20" s="71">
        <v>7202360028</v>
      </c>
      <c r="C20" s="71">
        <v>3012107385</v>
      </c>
      <c r="D20" s="72"/>
      <c r="E20" s="73"/>
      <c r="F20" s="73"/>
      <c r="G20" s="73"/>
      <c r="H20" s="90" t="s">
        <v>45</v>
      </c>
      <c r="I20" s="90" t="s">
        <v>45</v>
      </c>
      <c r="J20" s="14"/>
    </row>
    <row r="21" spans="1:10" ht="14.25" customHeight="1" x14ac:dyDescent="0.2">
      <c r="A21" s="68" t="s">
        <v>22</v>
      </c>
      <c r="B21" s="10">
        <v>7010498067</v>
      </c>
      <c r="C21" s="10">
        <v>3013027271</v>
      </c>
      <c r="D21" s="48"/>
      <c r="E21" s="66">
        <v>0.1</v>
      </c>
      <c r="F21" s="97"/>
      <c r="G21" s="87">
        <v>2</v>
      </c>
      <c r="H21" s="12"/>
      <c r="I21" s="12"/>
      <c r="J21" s="14"/>
    </row>
    <row r="22" spans="1:10" x14ac:dyDescent="0.2">
      <c r="A22" s="68" t="s">
        <v>25</v>
      </c>
      <c r="B22" s="10">
        <v>7005530163</v>
      </c>
      <c r="C22" s="10">
        <v>3003562994</v>
      </c>
      <c r="D22" s="48"/>
      <c r="E22" s="67">
        <v>0.2</v>
      </c>
      <c r="F22" s="97"/>
      <c r="G22" s="92">
        <v>2</v>
      </c>
      <c r="H22" s="12"/>
      <c r="I22" s="12"/>
    </row>
    <row r="23" spans="1:10" x14ac:dyDescent="0.2">
      <c r="A23" s="10" t="s">
        <v>26</v>
      </c>
      <c r="B23" s="10">
        <v>7202402563</v>
      </c>
      <c r="C23" s="10">
        <v>3006700739</v>
      </c>
      <c r="D23" s="48"/>
      <c r="E23" s="67">
        <v>0.15</v>
      </c>
      <c r="F23" s="97"/>
      <c r="G23" s="92">
        <v>1</v>
      </c>
      <c r="H23" s="12"/>
      <c r="I23" s="12"/>
    </row>
    <row r="24" spans="1:10" x14ac:dyDescent="0.2">
      <c r="A24" s="10" t="s">
        <v>27</v>
      </c>
      <c r="B24" s="10">
        <v>7202760807</v>
      </c>
      <c r="C24" s="10">
        <v>3012940288</v>
      </c>
      <c r="D24" s="48"/>
      <c r="E24" s="67">
        <v>0.15</v>
      </c>
      <c r="F24" s="97"/>
      <c r="G24" s="92">
        <v>2</v>
      </c>
      <c r="H24" s="12"/>
      <c r="I24" s="12"/>
    </row>
    <row r="25" spans="1:10" x14ac:dyDescent="0.2">
      <c r="A25" s="10" t="s">
        <v>28</v>
      </c>
      <c r="B25" s="10">
        <v>7202482231</v>
      </c>
      <c r="C25" s="10">
        <v>3004607095</v>
      </c>
      <c r="D25" s="48"/>
      <c r="E25" s="67">
        <v>0.2</v>
      </c>
      <c r="F25" s="97"/>
      <c r="G25" s="92">
        <v>2</v>
      </c>
      <c r="H25" s="12"/>
      <c r="I25" s="12"/>
    </row>
    <row r="26" spans="1:10" x14ac:dyDescent="0.2">
      <c r="A26" s="10" t="s">
        <v>28</v>
      </c>
      <c r="B26" s="10">
        <v>7202482231</v>
      </c>
      <c r="C26" s="10">
        <v>3005534144</v>
      </c>
      <c r="D26" s="48"/>
      <c r="E26" s="67">
        <v>0.2</v>
      </c>
      <c r="F26" s="97"/>
      <c r="G26" s="92">
        <v>2</v>
      </c>
      <c r="H26" s="12"/>
      <c r="I26" s="12"/>
    </row>
    <row r="27" spans="1:10" x14ac:dyDescent="0.2">
      <c r="A27" s="71" t="s">
        <v>30</v>
      </c>
      <c r="B27" s="71">
        <v>7201768092</v>
      </c>
      <c r="C27" s="71">
        <v>3012189878</v>
      </c>
      <c r="D27" s="72"/>
      <c r="E27" s="73"/>
      <c r="F27" s="73"/>
      <c r="G27" s="73"/>
      <c r="H27" s="90" t="s">
        <v>45</v>
      </c>
      <c r="I27" s="90" t="s">
        <v>45</v>
      </c>
    </row>
    <row r="28" spans="1:10" x14ac:dyDescent="0.2">
      <c r="A28" s="10" t="s">
        <v>31</v>
      </c>
      <c r="B28" s="10">
        <v>7201768092</v>
      </c>
      <c r="C28" s="10">
        <v>3001450194</v>
      </c>
      <c r="D28" s="48"/>
      <c r="E28" s="67">
        <v>0.2</v>
      </c>
      <c r="F28" s="97"/>
      <c r="G28" s="92">
        <v>2</v>
      </c>
      <c r="H28" s="12"/>
      <c r="I28" s="12"/>
    </row>
    <row r="29" spans="1:10" x14ac:dyDescent="0.2">
      <c r="A29" s="71" t="s">
        <v>32</v>
      </c>
      <c r="B29" s="71">
        <v>7202360028</v>
      </c>
      <c r="C29" s="71">
        <v>3014183803</v>
      </c>
      <c r="D29" s="72"/>
      <c r="E29" s="73"/>
      <c r="F29" s="73"/>
      <c r="G29" s="90"/>
      <c r="H29" s="90" t="s">
        <v>45</v>
      </c>
      <c r="I29" s="90" t="s">
        <v>45</v>
      </c>
    </row>
    <row r="30" spans="1:10" x14ac:dyDescent="0.2">
      <c r="A30" s="10" t="s">
        <v>33</v>
      </c>
      <c r="B30" s="10">
        <v>7005466339</v>
      </c>
      <c r="C30" s="10">
        <v>3013791114</v>
      </c>
      <c r="D30" s="48"/>
      <c r="E30" s="67">
        <v>0.2</v>
      </c>
      <c r="F30" s="97"/>
      <c r="G30" s="92">
        <v>2</v>
      </c>
      <c r="H30" s="12"/>
      <c r="I30" s="12"/>
    </row>
    <row r="31" spans="1:10" x14ac:dyDescent="0.2">
      <c r="A31" s="10" t="s">
        <v>33</v>
      </c>
      <c r="B31" s="10">
        <v>7005466339</v>
      </c>
      <c r="C31" s="10">
        <v>3002619862</v>
      </c>
      <c r="D31" s="48"/>
      <c r="E31" s="67">
        <v>0.2</v>
      </c>
      <c r="F31" s="97"/>
      <c r="G31" s="92">
        <v>2</v>
      </c>
      <c r="H31" s="12"/>
      <c r="I31" s="12"/>
    </row>
    <row r="32" spans="1:10" x14ac:dyDescent="0.2">
      <c r="A32" s="70" t="s">
        <v>34</v>
      </c>
      <c r="B32" s="10">
        <v>7200135835</v>
      </c>
      <c r="C32" s="10">
        <v>3001450251</v>
      </c>
      <c r="D32" s="48"/>
      <c r="E32" s="67">
        <v>0.15</v>
      </c>
      <c r="F32" s="97"/>
      <c r="G32" s="92">
        <v>2</v>
      </c>
      <c r="H32" s="12"/>
      <c r="I32" s="12"/>
    </row>
    <row r="33" spans="1:9" x14ac:dyDescent="0.2">
      <c r="A33" s="70" t="s">
        <v>35</v>
      </c>
      <c r="B33" s="10">
        <v>7201768092</v>
      </c>
      <c r="C33" s="10">
        <v>3012262751</v>
      </c>
      <c r="D33" s="48"/>
      <c r="E33" s="67">
        <v>0.15</v>
      </c>
      <c r="F33" s="97"/>
      <c r="G33" s="92">
        <v>2</v>
      </c>
      <c r="H33" s="12"/>
      <c r="I33" s="93"/>
    </row>
    <row r="34" spans="1:9" x14ac:dyDescent="0.2">
      <c r="A34" s="70" t="s">
        <v>37</v>
      </c>
      <c r="B34" s="10">
        <v>7201768092</v>
      </c>
      <c r="C34" s="10">
        <v>3007395349</v>
      </c>
      <c r="D34" s="48"/>
      <c r="E34" s="67">
        <v>0.15</v>
      </c>
      <c r="F34" s="97"/>
      <c r="G34" s="92">
        <v>2</v>
      </c>
      <c r="H34" s="12"/>
      <c r="I34" s="12"/>
    </row>
    <row r="35" spans="1:9" x14ac:dyDescent="0.2">
      <c r="A35" s="70" t="s">
        <v>38</v>
      </c>
      <c r="B35" s="10">
        <v>7201768092</v>
      </c>
      <c r="C35" s="10">
        <v>3001780367</v>
      </c>
      <c r="D35" s="48"/>
      <c r="E35" s="67">
        <v>0.15</v>
      </c>
      <c r="F35" s="97"/>
      <c r="G35" s="92">
        <v>2</v>
      </c>
      <c r="H35" s="12"/>
      <c r="I35" s="12"/>
    </row>
    <row r="36" spans="1:9" x14ac:dyDescent="0.2">
      <c r="A36" s="70" t="s">
        <v>39</v>
      </c>
      <c r="B36" s="10">
        <v>7201768092</v>
      </c>
      <c r="C36" s="10">
        <v>3000914060</v>
      </c>
      <c r="D36" s="48"/>
      <c r="E36" s="67">
        <v>0.15</v>
      </c>
      <c r="F36" s="97"/>
      <c r="G36" s="92">
        <v>2</v>
      </c>
      <c r="H36" s="12"/>
      <c r="I36" s="12"/>
    </row>
    <row r="37" spans="1:9" x14ac:dyDescent="0.2">
      <c r="A37" s="70" t="s">
        <v>40</v>
      </c>
      <c r="B37" s="10">
        <v>7202806123</v>
      </c>
      <c r="C37" s="10">
        <v>3003198807</v>
      </c>
      <c r="D37" s="48"/>
      <c r="E37" s="67">
        <v>0.15</v>
      </c>
      <c r="F37" s="98"/>
      <c r="G37" s="92">
        <v>2</v>
      </c>
      <c r="H37" s="12"/>
      <c r="I37" s="12"/>
    </row>
    <row r="38" spans="1:9" x14ac:dyDescent="0.2">
      <c r="A38" s="70" t="s">
        <v>55</v>
      </c>
      <c r="B38" s="10">
        <v>7205374759</v>
      </c>
      <c r="C38" s="10">
        <v>3002175890</v>
      </c>
      <c r="D38" s="48"/>
      <c r="E38" s="67">
        <v>0.15</v>
      </c>
      <c r="F38" s="12">
        <v>17</v>
      </c>
      <c r="G38" s="92"/>
      <c r="H38" s="12"/>
      <c r="I38" s="12"/>
    </row>
    <row r="39" spans="1:9" x14ac:dyDescent="0.2">
      <c r="A39" s="70" t="s">
        <v>57</v>
      </c>
      <c r="B39" s="10">
        <v>7005439127</v>
      </c>
      <c r="C39" s="10">
        <v>3012512271</v>
      </c>
      <c r="D39" s="48"/>
      <c r="E39" s="67">
        <v>0.15</v>
      </c>
      <c r="F39" s="12">
        <v>3</v>
      </c>
      <c r="G39" s="92"/>
      <c r="H39" s="12"/>
      <c r="I39" s="12"/>
    </row>
    <row r="40" spans="1:9" x14ac:dyDescent="0.2">
      <c r="A40" s="70" t="s">
        <v>58</v>
      </c>
      <c r="B40" s="10">
        <v>7200317399</v>
      </c>
      <c r="C40" s="10">
        <v>3011377412</v>
      </c>
      <c r="D40" s="48"/>
      <c r="E40" s="67">
        <v>0.2</v>
      </c>
      <c r="F40" s="12">
        <v>8</v>
      </c>
      <c r="G40" s="92"/>
      <c r="H40" s="12"/>
      <c r="I40" s="12"/>
    </row>
    <row r="41" spans="1:9" x14ac:dyDescent="0.2">
      <c r="A41" s="70" t="s">
        <v>26</v>
      </c>
      <c r="B41" s="10">
        <v>7202402563</v>
      </c>
      <c r="C41" s="10">
        <v>3012307446</v>
      </c>
      <c r="D41" s="48"/>
      <c r="E41" s="12"/>
      <c r="F41" s="12"/>
      <c r="G41" s="92"/>
      <c r="H41" s="12"/>
      <c r="I41" s="12"/>
    </row>
    <row r="42" spans="1:9" x14ac:dyDescent="0.2">
      <c r="A42" s="70" t="s">
        <v>46</v>
      </c>
      <c r="B42" s="10">
        <v>7202649326</v>
      </c>
      <c r="C42" s="10">
        <v>3014018953</v>
      </c>
      <c r="D42" s="48"/>
      <c r="E42" s="67">
        <v>0.15</v>
      </c>
      <c r="F42" s="12">
        <v>17</v>
      </c>
      <c r="G42" s="92"/>
      <c r="H42" s="12"/>
      <c r="I42" s="12"/>
    </row>
    <row r="43" spans="1:9" x14ac:dyDescent="0.2">
      <c r="A43" s="70" t="s">
        <v>48</v>
      </c>
      <c r="B43" s="10">
        <v>7010221388</v>
      </c>
      <c r="C43" s="10">
        <v>3001348433</v>
      </c>
      <c r="D43" s="48"/>
      <c r="E43" s="67">
        <v>0.2</v>
      </c>
      <c r="F43" s="12"/>
      <c r="G43" s="92"/>
      <c r="H43" s="12"/>
      <c r="I43" s="12"/>
    </row>
    <row r="44" spans="1:9" x14ac:dyDescent="0.2">
      <c r="A44" s="70" t="s">
        <v>50</v>
      </c>
      <c r="B44" s="10">
        <v>7010540003</v>
      </c>
      <c r="C44" s="10">
        <v>3010642300</v>
      </c>
      <c r="D44" s="48"/>
      <c r="E44" s="67">
        <v>0.2</v>
      </c>
      <c r="F44" s="12"/>
      <c r="G44" s="92"/>
      <c r="H44" s="12"/>
      <c r="I44" s="12"/>
    </row>
    <row r="45" spans="1:9" x14ac:dyDescent="0.2">
      <c r="A45" s="70" t="s">
        <v>51</v>
      </c>
      <c r="B45" s="10">
        <v>7005602485</v>
      </c>
      <c r="C45" s="10">
        <v>3003245697</v>
      </c>
      <c r="D45" s="48"/>
      <c r="E45" s="67">
        <v>0.2</v>
      </c>
      <c r="F45" s="12"/>
      <c r="G45" s="92"/>
      <c r="H45" s="12"/>
      <c r="I45" s="12"/>
    </row>
    <row r="46" spans="1:9" x14ac:dyDescent="0.2">
      <c r="A46" s="70" t="s">
        <v>53</v>
      </c>
      <c r="B46" s="10">
        <v>7202646947</v>
      </c>
      <c r="C46" s="10">
        <v>3004256972</v>
      </c>
      <c r="D46" s="48"/>
      <c r="E46" s="67">
        <v>0.2</v>
      </c>
      <c r="F46" s="12"/>
      <c r="G46" s="92"/>
      <c r="H46" s="12"/>
      <c r="I46" s="12"/>
    </row>
    <row r="47" spans="1:9" x14ac:dyDescent="0.2">
      <c r="A47" s="70" t="s">
        <v>60</v>
      </c>
      <c r="B47" s="10">
        <v>7200746623</v>
      </c>
      <c r="C47" s="10">
        <v>3002725236</v>
      </c>
      <c r="D47" s="48"/>
      <c r="E47" s="67">
        <v>0.2</v>
      </c>
      <c r="F47" s="12">
        <v>17</v>
      </c>
      <c r="G47" s="92"/>
      <c r="H47" s="12"/>
      <c r="I47" s="12"/>
    </row>
    <row r="48" spans="1:9" x14ac:dyDescent="0.2">
      <c r="A48" s="70" t="s">
        <v>61</v>
      </c>
      <c r="B48" s="10">
        <v>7010076392</v>
      </c>
      <c r="C48" s="10">
        <v>3011515927</v>
      </c>
      <c r="D48" s="48"/>
      <c r="E48" s="67">
        <v>0.15</v>
      </c>
      <c r="F48" s="12">
        <v>25</v>
      </c>
      <c r="G48" s="92"/>
      <c r="H48" s="12"/>
      <c r="I48" s="12"/>
    </row>
    <row r="49" spans="1:9" ht="13.5" thickBot="1" x14ac:dyDescent="0.25">
      <c r="A49" s="70" t="s">
        <v>68</v>
      </c>
      <c r="B49" s="10">
        <v>0</v>
      </c>
      <c r="C49" s="105">
        <v>3000886634</v>
      </c>
      <c r="D49" s="106"/>
      <c r="E49" s="107">
        <v>0.15</v>
      </c>
      <c r="F49" s="104"/>
      <c r="G49" s="92"/>
      <c r="H49" s="12"/>
      <c r="I49" s="12"/>
    </row>
    <row r="50" spans="1:9" ht="13.5" thickBot="1" x14ac:dyDescent="0.25">
      <c r="C50" s="108" t="s">
        <v>29</v>
      </c>
      <c r="D50" s="109">
        <f>SUM(D3:D26)</f>
        <v>0</v>
      </c>
      <c r="E50" s="110"/>
      <c r="F50" s="111"/>
    </row>
    <row r="51" spans="1:9" x14ac:dyDescent="0.2">
      <c r="C51" s="100"/>
      <c r="D51" s="101"/>
      <c r="E51" s="100"/>
      <c r="F51" s="102"/>
      <c r="G51" s="102"/>
    </row>
    <row r="52" spans="1:9" x14ac:dyDescent="0.2">
      <c r="C52" s="100"/>
      <c r="D52" s="101"/>
      <c r="E52" s="100"/>
      <c r="F52" s="102"/>
      <c r="G52" s="102"/>
    </row>
    <row r="53" spans="1:9" x14ac:dyDescent="0.2">
      <c r="C53" s="100"/>
      <c r="D53" s="101"/>
      <c r="E53" s="100"/>
      <c r="F53" s="102"/>
      <c r="G53" s="102"/>
    </row>
  </sheetData>
  <autoFilter ref="A2:I50" xr:uid="{7FF2AB3C-0437-4BBB-83FA-BF0987B3E932}"/>
  <mergeCells count="1">
    <mergeCell ref="D1:F1"/>
  </mergeCells>
  <pageMargins left="0.51181102362204722" right="0.51181102362204722" top="0.78740157480314965" bottom="0.78740157480314965" header="0.31496062992125984" footer="0.31496062992125984"/>
  <pageSetup paperSize="9" scale="8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3"/>
  <dimension ref="A1:K15"/>
  <sheetViews>
    <sheetView topLeftCell="C1" zoomScale="85" zoomScaleNormal="85" workbookViewId="0">
      <selection activeCell="K16" sqref="K16"/>
    </sheetView>
  </sheetViews>
  <sheetFormatPr defaultRowHeight="12.75" x14ac:dyDescent="0.2"/>
  <cols>
    <col min="1" max="1" width="11.7109375" bestFit="1" customWidth="1"/>
    <col min="2" max="2" width="21.42578125" bestFit="1" customWidth="1"/>
    <col min="3" max="3" width="18.7109375" bestFit="1" customWidth="1"/>
    <col min="5" max="5" width="11.7109375" bestFit="1" customWidth="1"/>
    <col min="6" max="6" width="21.42578125" bestFit="1" customWidth="1"/>
    <col min="7" max="7" width="18.7109375" bestFit="1" customWidth="1"/>
    <col min="9" max="9" width="11.7109375" bestFit="1" customWidth="1"/>
    <col min="10" max="10" width="21.42578125" bestFit="1" customWidth="1"/>
    <col min="11" max="11" width="18.7109375" bestFit="1" customWidth="1"/>
  </cols>
  <sheetData>
    <row r="1" spans="1:11" ht="15.75" x14ac:dyDescent="0.25">
      <c r="A1" s="143">
        <v>2018</v>
      </c>
      <c r="B1" s="143"/>
      <c r="C1" s="143"/>
      <c r="E1" s="143">
        <v>2019</v>
      </c>
      <c r="F1" s="143"/>
      <c r="G1" s="143"/>
      <c r="I1" s="143">
        <v>2020</v>
      </c>
      <c r="J1" s="143"/>
      <c r="K1" s="143"/>
    </row>
    <row r="2" spans="1:11" ht="15" x14ac:dyDescent="0.2">
      <c r="A2" s="1" t="s">
        <v>69</v>
      </c>
      <c r="B2" s="1" t="s">
        <v>70</v>
      </c>
      <c r="C2" s="1" t="s">
        <v>71</v>
      </c>
      <c r="E2" s="1" t="s">
        <v>69</v>
      </c>
      <c r="F2" s="1" t="s">
        <v>70</v>
      </c>
      <c r="G2" s="1" t="s">
        <v>71</v>
      </c>
      <c r="I2" s="1" t="s">
        <v>69</v>
      </c>
      <c r="J2" s="1" t="s">
        <v>70</v>
      </c>
      <c r="K2" s="1" t="s">
        <v>71</v>
      </c>
    </row>
    <row r="3" spans="1:11" ht="15" x14ac:dyDescent="0.2">
      <c r="A3" s="1" t="s">
        <v>72</v>
      </c>
      <c r="B3" s="7">
        <v>33585</v>
      </c>
      <c r="C3" s="7"/>
      <c r="E3" s="1" t="s">
        <v>72</v>
      </c>
      <c r="F3" s="7">
        <v>33585</v>
      </c>
      <c r="G3" s="7">
        <f>ROUND(36160*0.975,2)</f>
        <v>35256</v>
      </c>
      <c r="I3" s="1" t="s">
        <v>72</v>
      </c>
      <c r="J3" s="7">
        <v>40813</v>
      </c>
      <c r="K3" s="7">
        <v>38688</v>
      </c>
    </row>
    <row r="4" spans="1:11" ht="15" x14ac:dyDescent="0.2">
      <c r="A4" s="1" t="s">
        <v>73</v>
      </c>
      <c r="B4" s="7">
        <v>32700</v>
      </c>
      <c r="C4" s="7"/>
      <c r="D4" s="9"/>
      <c r="E4" s="1" t="s">
        <v>73</v>
      </c>
      <c r="F4" s="7">
        <v>32700</v>
      </c>
      <c r="G4" s="7">
        <f>ROUND(34800*0.975,2)</f>
        <v>33930</v>
      </c>
      <c r="I4" s="1" t="s">
        <v>73</v>
      </c>
      <c r="J4" s="7">
        <v>39741</v>
      </c>
      <c r="K4" s="7">
        <v>41020</v>
      </c>
    </row>
    <row r="5" spans="1:11" ht="15" x14ac:dyDescent="0.2">
      <c r="A5" s="1" t="s">
        <v>74</v>
      </c>
      <c r="B5" s="7">
        <v>34800</v>
      </c>
      <c r="C5" s="7"/>
      <c r="E5" s="1" t="s">
        <v>74</v>
      </c>
      <c r="F5" s="7">
        <v>34800</v>
      </c>
      <c r="G5" s="7">
        <f>+ROUND(29760*0.975,2)</f>
        <v>29016</v>
      </c>
      <c r="I5" s="1" t="s">
        <v>74</v>
      </c>
      <c r="J5" s="7">
        <v>39410</v>
      </c>
      <c r="K5" s="7">
        <v>30800</v>
      </c>
    </row>
    <row r="6" spans="1:11" ht="15" x14ac:dyDescent="0.2">
      <c r="A6" s="1" t="s">
        <v>75</v>
      </c>
      <c r="B6" s="7">
        <v>34000</v>
      </c>
      <c r="C6" s="7"/>
      <c r="E6" s="1" t="s">
        <v>75</v>
      </c>
      <c r="F6" s="7">
        <v>34000</v>
      </c>
      <c r="G6" s="7">
        <f>+ROUND(32880*0.975,2)</f>
        <v>32058</v>
      </c>
      <c r="I6" s="1" t="s">
        <v>75</v>
      </c>
      <c r="J6" s="7">
        <v>36895</v>
      </c>
      <c r="K6" s="7">
        <v>31120</v>
      </c>
    </row>
    <row r="7" spans="1:11" ht="15" x14ac:dyDescent="0.2">
      <c r="A7" s="1" t="s">
        <v>76</v>
      </c>
      <c r="B7" s="7">
        <v>34000</v>
      </c>
      <c r="C7" s="7"/>
      <c r="E7" s="1" t="s">
        <v>76</v>
      </c>
      <c r="F7" s="7">
        <v>34000</v>
      </c>
      <c r="G7" s="7">
        <v>29200</v>
      </c>
      <c r="I7" s="1" t="s">
        <v>76</v>
      </c>
      <c r="J7" s="7">
        <v>36904</v>
      </c>
      <c r="K7" s="7">
        <v>35920</v>
      </c>
    </row>
    <row r="8" spans="1:11" ht="15" x14ac:dyDescent="0.2">
      <c r="A8" s="1" t="s">
        <v>77</v>
      </c>
      <c r="B8" s="7">
        <v>34000</v>
      </c>
      <c r="C8" s="7"/>
      <c r="E8" s="1" t="s">
        <v>77</v>
      </c>
      <c r="F8" s="7">
        <v>34000</v>
      </c>
      <c r="G8" s="7">
        <v>31434</v>
      </c>
      <c r="I8" s="1" t="s">
        <v>77</v>
      </c>
      <c r="J8" s="7">
        <v>35547</v>
      </c>
      <c r="K8" s="7">
        <v>43200</v>
      </c>
    </row>
    <row r="9" spans="1:11" ht="15" x14ac:dyDescent="0.2">
      <c r="A9" s="1" t="s">
        <v>78</v>
      </c>
      <c r="B9" s="7">
        <v>35900</v>
      </c>
      <c r="C9" s="7"/>
      <c r="E9" s="1" t="s">
        <v>78</v>
      </c>
      <c r="F9" s="7">
        <v>35900</v>
      </c>
      <c r="G9" s="7">
        <v>34008</v>
      </c>
      <c r="I9" s="1" t="s">
        <v>78</v>
      </c>
      <c r="J9" s="7">
        <v>38621</v>
      </c>
      <c r="K9" s="7">
        <v>38640</v>
      </c>
    </row>
    <row r="10" spans="1:11" ht="15" x14ac:dyDescent="0.2">
      <c r="A10" s="1" t="s">
        <v>79</v>
      </c>
      <c r="B10" s="7">
        <v>38000</v>
      </c>
      <c r="C10" s="7"/>
      <c r="E10" s="1" t="s">
        <v>79</v>
      </c>
      <c r="F10" s="7">
        <v>38000</v>
      </c>
      <c r="G10" s="7">
        <v>33360</v>
      </c>
      <c r="I10" s="1" t="s">
        <v>79</v>
      </c>
      <c r="J10" s="7">
        <v>43317</v>
      </c>
      <c r="K10" s="7">
        <v>41280</v>
      </c>
    </row>
    <row r="11" spans="1:11" ht="15" x14ac:dyDescent="0.2">
      <c r="A11" s="1" t="s">
        <v>80</v>
      </c>
      <c r="B11" s="7">
        <v>35400</v>
      </c>
      <c r="C11" s="7"/>
      <c r="E11" s="1" t="s">
        <v>80</v>
      </c>
      <c r="F11" s="7">
        <v>35400</v>
      </c>
      <c r="G11" s="7">
        <v>34242</v>
      </c>
      <c r="I11" s="1" t="s">
        <v>80</v>
      </c>
      <c r="J11" s="7">
        <v>38413</v>
      </c>
      <c r="K11" s="7">
        <v>49120</v>
      </c>
    </row>
    <row r="12" spans="1:11" ht="15" x14ac:dyDescent="0.2">
      <c r="A12" s="1" t="s">
        <v>81</v>
      </c>
      <c r="B12" s="7">
        <v>35200</v>
      </c>
      <c r="C12" s="7"/>
      <c r="E12" s="1" t="s">
        <v>81</v>
      </c>
      <c r="F12" s="7">
        <v>35200</v>
      </c>
      <c r="G12" s="7">
        <v>28470</v>
      </c>
      <c r="I12" s="1" t="s">
        <v>81</v>
      </c>
      <c r="J12" s="7">
        <v>39665</v>
      </c>
      <c r="K12" s="7">
        <v>29000</v>
      </c>
    </row>
    <row r="13" spans="1:11" ht="15" x14ac:dyDescent="0.2">
      <c r="A13" s="1" t="s">
        <v>82</v>
      </c>
      <c r="B13" s="7">
        <v>31000</v>
      </c>
      <c r="C13" s="7"/>
      <c r="E13" s="1" t="s">
        <v>82</v>
      </c>
      <c r="F13" s="7">
        <v>31000</v>
      </c>
      <c r="G13" s="7">
        <v>29874</v>
      </c>
      <c r="I13" s="1" t="s">
        <v>82</v>
      </c>
      <c r="J13" s="7">
        <v>34286</v>
      </c>
      <c r="K13" s="7"/>
    </row>
    <row r="14" spans="1:11" ht="15" x14ac:dyDescent="0.2">
      <c r="A14" s="1" t="s">
        <v>83</v>
      </c>
      <c r="B14" s="7">
        <v>31000</v>
      </c>
      <c r="C14" s="7">
        <f>ROUND(30560*0.975,2)</f>
        <v>29796</v>
      </c>
      <c r="E14" s="1" t="s">
        <v>83</v>
      </c>
      <c r="F14" s="7">
        <v>31000</v>
      </c>
      <c r="G14" s="7">
        <v>34710</v>
      </c>
      <c r="I14" s="1" t="s">
        <v>83</v>
      </c>
      <c r="J14" s="7">
        <v>38384</v>
      </c>
      <c r="K14" s="7"/>
    </row>
    <row r="15" spans="1:11" ht="15.75" x14ac:dyDescent="0.2">
      <c r="A15" s="2" t="s">
        <v>29</v>
      </c>
      <c r="B15" s="8">
        <f>SUM(B3:B14)</f>
        <v>409585</v>
      </c>
      <c r="C15" s="9"/>
      <c r="E15" s="2" t="s">
        <v>29</v>
      </c>
      <c r="F15" s="8">
        <f>SUM(F3:F14)</f>
        <v>409585</v>
      </c>
      <c r="G15" s="8">
        <f>SUM(G3:G14)</f>
        <v>385558</v>
      </c>
      <c r="I15" s="2" t="s">
        <v>29</v>
      </c>
      <c r="J15" s="8">
        <f>SUM(J3:J14)</f>
        <v>461996</v>
      </c>
      <c r="K15" s="8">
        <f>SUM(K3:K14)</f>
        <v>378788</v>
      </c>
    </row>
  </sheetData>
  <mergeCells count="3">
    <mergeCell ref="A1:C1"/>
    <mergeCell ref="E1:G1"/>
    <mergeCell ref="I1:K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FFD31-230F-402E-A39D-7216B31DB8BD}">
  <dimension ref="A1:O167"/>
  <sheetViews>
    <sheetView workbookViewId="0">
      <pane ySplit="4" topLeftCell="A56" activePane="bottomLeft" state="frozen"/>
      <selection pane="bottomLeft" activeCell="H6" sqref="H6"/>
    </sheetView>
  </sheetViews>
  <sheetFormatPr defaultRowHeight="12.75" x14ac:dyDescent="0.2"/>
  <cols>
    <col min="1" max="1" width="35.42578125" bestFit="1" customWidth="1"/>
    <col min="2" max="2" width="11.140625" customWidth="1"/>
    <col min="3" max="3" width="14.140625" bestFit="1" customWidth="1"/>
    <col min="4" max="5" width="10.42578125" customWidth="1"/>
    <col min="6" max="7" width="10.140625" customWidth="1"/>
    <col min="8" max="8" width="14.28515625" bestFit="1" customWidth="1"/>
    <col min="9" max="9" width="15.28515625" customWidth="1"/>
    <col min="10" max="11" width="14.28515625" bestFit="1" customWidth="1"/>
    <col min="12" max="12" width="14.28515625" customWidth="1"/>
    <col min="13" max="15" width="14.28515625" bestFit="1" customWidth="1"/>
  </cols>
  <sheetData>
    <row r="1" spans="1:15" x14ac:dyDescent="0.2">
      <c r="H1" s="43" t="s">
        <v>84</v>
      </c>
      <c r="I1" s="43" t="s">
        <v>85</v>
      </c>
      <c r="J1" s="43" t="s">
        <v>86</v>
      </c>
      <c r="K1" s="43" t="s">
        <v>87</v>
      </c>
      <c r="L1" s="43" t="s">
        <v>88</v>
      </c>
      <c r="M1" s="43" t="s">
        <v>89</v>
      </c>
      <c r="N1" s="43" t="s">
        <v>90</v>
      </c>
      <c r="O1" s="43" t="s">
        <v>91</v>
      </c>
    </row>
    <row r="2" spans="1:15" x14ac:dyDescent="0.2">
      <c r="H2" s="35">
        <f>'Consumo Médio - Clientes'!BN3</f>
        <v>53430</v>
      </c>
      <c r="I2" s="35">
        <f>'Consumo Médio - Clientes'!AX172</f>
        <v>469700</v>
      </c>
      <c r="J2" s="35">
        <f>'Consumo Médio - Clientes'!AX171</f>
        <v>0</v>
      </c>
      <c r="K2" s="35">
        <f>'Consumo Médio - Clientes'!AX173</f>
        <v>12000</v>
      </c>
      <c r="L2" s="35">
        <f>'Consumo Médio - Clientes'!AX174</f>
        <v>12000</v>
      </c>
      <c r="M2" s="35">
        <f>'Consumo Médio - Clientes'!AX175</f>
        <v>1000</v>
      </c>
      <c r="N2" s="35">
        <f>'Consumo Médio - Clientes'!AX176</f>
        <v>1000</v>
      </c>
      <c r="O2" s="35">
        <f>'Consumo Médio - Clientes'!AX177</f>
        <v>1000</v>
      </c>
    </row>
    <row r="3" spans="1:15" x14ac:dyDescent="0.2">
      <c r="H3" s="41" t="s">
        <v>92</v>
      </c>
      <c r="I3" s="41" t="s">
        <v>93</v>
      </c>
      <c r="J3" s="41" t="s">
        <v>94</v>
      </c>
      <c r="K3" s="41" t="s">
        <v>95</v>
      </c>
      <c r="L3" s="41" t="s">
        <v>96</v>
      </c>
      <c r="M3" s="41" t="s">
        <v>97</v>
      </c>
      <c r="N3" s="41" t="s">
        <v>98</v>
      </c>
      <c r="O3" s="41" t="s">
        <v>99</v>
      </c>
    </row>
    <row r="4" spans="1:15" ht="30" x14ac:dyDescent="0.2">
      <c r="A4" s="16" t="s">
        <v>0</v>
      </c>
      <c r="B4" s="16" t="s">
        <v>1</v>
      </c>
      <c r="C4" s="17" t="s">
        <v>2</v>
      </c>
      <c r="D4" s="36" t="s">
        <v>100</v>
      </c>
      <c r="E4" s="36" t="s">
        <v>101</v>
      </c>
      <c r="F4" s="42" t="s">
        <v>102</v>
      </c>
      <c r="G4" s="81" t="s">
        <v>103</v>
      </c>
      <c r="H4" s="4" t="s">
        <v>104</v>
      </c>
      <c r="I4" s="3" t="s">
        <v>104</v>
      </c>
      <c r="J4" s="3" t="s">
        <v>104</v>
      </c>
      <c r="K4" s="3" t="s">
        <v>104</v>
      </c>
      <c r="L4" s="3" t="s">
        <v>104</v>
      </c>
      <c r="M4" s="3" t="s">
        <v>104</v>
      </c>
      <c r="N4" s="3" t="s">
        <v>104</v>
      </c>
      <c r="O4" s="3" t="s">
        <v>104</v>
      </c>
    </row>
    <row r="5" spans="1:15" x14ac:dyDescent="0.2">
      <c r="A5" s="18" t="str">
        <f>'Consumo Médio - Clientes'!A2</f>
        <v>Lucile Confecções LTDA</v>
      </c>
      <c r="B5" s="18">
        <f>'Consumo Médio - Clientes'!B2</f>
        <v>7005713839</v>
      </c>
      <c r="C5" s="18">
        <f>'Consumo Médio - Clientes'!C2</f>
        <v>3003858507</v>
      </c>
      <c r="D5" s="37">
        <f>'Consumo Médio - Clientes'!AX2</f>
        <v>3308</v>
      </c>
      <c r="E5" s="38">
        <f>F5/D5</f>
        <v>0.88834643288996373</v>
      </c>
      <c r="F5" s="37">
        <f>SUM(H5*$H$2,I5*$I$2,J5*$J$2,$K$2*K5,$L$2*L5,M5*$M$2,N5*$N$2,O5*$O$2)</f>
        <v>2938.65</v>
      </c>
      <c r="G5" s="82">
        <f>'Consumo Médio - Clientes'!AY2</f>
        <v>0</v>
      </c>
      <c r="H5" s="39">
        <v>5.5E-2</v>
      </c>
      <c r="I5" s="94">
        <v>0</v>
      </c>
      <c r="J5" s="94">
        <v>0.05</v>
      </c>
      <c r="K5" s="94">
        <v>0</v>
      </c>
      <c r="L5" s="94">
        <v>0</v>
      </c>
      <c r="M5" s="94">
        <v>0</v>
      </c>
      <c r="N5" s="94">
        <v>0</v>
      </c>
      <c r="O5" s="94">
        <v>0</v>
      </c>
    </row>
    <row r="6" spans="1:15" x14ac:dyDescent="0.2">
      <c r="A6" s="18" t="str">
        <f>'Consumo Médio - Clientes'!A3</f>
        <v>CLL Hotel e Turismo</v>
      </c>
      <c r="B6" s="18">
        <f>'Consumo Médio - Clientes'!B3</f>
        <v>7008528502</v>
      </c>
      <c r="C6" s="18">
        <f>'Consumo Médio - Clientes'!C3</f>
        <v>3001084033</v>
      </c>
      <c r="D6" s="37">
        <f>'Consumo Médio - Clientes'!AX3</f>
        <v>7707</v>
      </c>
      <c r="E6" s="38">
        <f t="shared" ref="E6:E22" si="0">F6/D6</f>
        <v>6.9326586220319186E-4</v>
      </c>
      <c r="F6" s="37">
        <f t="shared" ref="F6:F67" si="1">SUM(H6*$H$2,I6*$I$2,J6*$J$2,$K$2*K6,$L$2*L6,M6*$M$2,N6*$N$2,O6*$O$2)</f>
        <v>5.343</v>
      </c>
      <c r="G6" s="82">
        <f>'Consumo Médio - Clientes'!AY3</f>
        <v>19766</v>
      </c>
      <c r="H6" s="39">
        <v>1E-4</v>
      </c>
      <c r="I6" s="94">
        <v>0</v>
      </c>
      <c r="J6" s="94">
        <v>0.1</v>
      </c>
      <c r="K6" s="94">
        <v>0</v>
      </c>
      <c r="L6" s="94">
        <v>0</v>
      </c>
      <c r="M6" s="94">
        <v>0</v>
      </c>
      <c r="N6" s="94">
        <v>0</v>
      </c>
      <c r="O6" s="94">
        <v>0</v>
      </c>
    </row>
    <row r="7" spans="1:15" x14ac:dyDescent="0.2">
      <c r="A7" s="18" t="str">
        <f>'Consumo Médio - Clientes'!A4</f>
        <v>Academia Planeta Corpo</v>
      </c>
      <c r="B7" s="18">
        <f>'Consumo Médio - Clientes'!B4</f>
        <v>7005369021</v>
      </c>
      <c r="C7" s="18">
        <f>'Consumo Médio - Clientes'!C4</f>
        <v>3011373971</v>
      </c>
      <c r="D7" s="37">
        <f>'Consumo Médio - Clientes'!AX4</f>
        <v>467</v>
      </c>
      <c r="E7" s="38">
        <f t="shared" si="0"/>
        <v>1.1441113490364026E-2</v>
      </c>
      <c r="F7" s="37">
        <f t="shared" si="1"/>
        <v>5.343</v>
      </c>
      <c r="G7" s="82">
        <f>'Consumo Médio - Clientes'!AY4</f>
        <v>1359</v>
      </c>
      <c r="H7" s="40">
        <v>1E-4</v>
      </c>
      <c r="I7" s="94">
        <v>0</v>
      </c>
      <c r="J7" s="94">
        <v>0</v>
      </c>
      <c r="K7" s="94">
        <v>0</v>
      </c>
      <c r="L7" s="94">
        <v>0</v>
      </c>
      <c r="M7" s="94">
        <v>0</v>
      </c>
      <c r="N7" s="94">
        <v>0</v>
      </c>
      <c r="O7" s="94">
        <v>0</v>
      </c>
    </row>
    <row r="8" spans="1:15" x14ac:dyDescent="0.2">
      <c r="A8" s="18" t="str">
        <f>'Consumo Médio - Clientes'!A5</f>
        <v>MD Predial</v>
      </c>
      <c r="B8" s="18">
        <f>'Consumo Médio - Clientes'!B5</f>
        <v>7005492088</v>
      </c>
      <c r="C8" s="18">
        <f>'Consumo Médio - Clientes'!C5</f>
        <v>3001449459</v>
      </c>
      <c r="D8" s="37">
        <f>'Consumo Médio - Clientes'!AX5</f>
        <v>1440</v>
      </c>
      <c r="E8" s="38">
        <f t="shared" si="0"/>
        <v>1.0545833333333332</v>
      </c>
      <c r="F8" s="37">
        <f t="shared" si="1"/>
        <v>1518.6</v>
      </c>
      <c r="G8" s="82">
        <f>'Consumo Médio - Clientes'!AY5</f>
        <v>0</v>
      </c>
      <c r="H8" s="39">
        <v>0.02</v>
      </c>
      <c r="I8" s="94">
        <v>0</v>
      </c>
      <c r="J8" s="94">
        <v>0.1</v>
      </c>
      <c r="K8" s="94">
        <v>0</v>
      </c>
      <c r="L8" s="94">
        <v>0</v>
      </c>
      <c r="M8" s="94">
        <v>0.15</v>
      </c>
      <c r="N8" s="94">
        <v>0.15</v>
      </c>
      <c r="O8" s="94">
        <v>0.15</v>
      </c>
    </row>
    <row r="9" spans="1:15" x14ac:dyDescent="0.2">
      <c r="A9" s="18" t="str">
        <f>'Consumo Médio - Clientes'!A6</f>
        <v>MD Predial</v>
      </c>
      <c r="B9" s="18">
        <f>'Consumo Médio - Clientes'!B6</f>
        <v>7005492088</v>
      </c>
      <c r="C9" s="18">
        <f>'Consumo Médio - Clientes'!C6</f>
        <v>3011504476</v>
      </c>
      <c r="D9" s="37">
        <f>'Consumo Médio - Clientes'!AX6</f>
        <v>1867</v>
      </c>
      <c r="E9" s="38">
        <f t="shared" si="0"/>
        <v>1.0368237814675951</v>
      </c>
      <c r="F9" s="37">
        <f t="shared" si="1"/>
        <v>1935.75</v>
      </c>
      <c r="G9" s="82">
        <f>'Consumo Médio - Clientes'!AY6</f>
        <v>127</v>
      </c>
      <c r="H9" s="39">
        <v>2.5000000000000001E-2</v>
      </c>
      <c r="I9" s="94">
        <v>0</v>
      </c>
      <c r="J9" s="94">
        <v>0.1</v>
      </c>
      <c r="K9" s="94">
        <v>0</v>
      </c>
      <c r="L9" s="94">
        <v>0</v>
      </c>
      <c r="M9" s="94">
        <v>0.2</v>
      </c>
      <c r="N9" s="94">
        <v>0.2</v>
      </c>
      <c r="O9" s="94">
        <v>0.2</v>
      </c>
    </row>
    <row r="10" spans="1:15" x14ac:dyDescent="0.2">
      <c r="A10" s="18" t="str">
        <f>'Consumo Médio - Clientes'!A7</f>
        <v>MD Predial</v>
      </c>
      <c r="B10" s="18">
        <f>'Consumo Médio - Clientes'!B7</f>
        <v>7005492088</v>
      </c>
      <c r="C10" s="18">
        <f>'Consumo Médio - Clientes'!C7</f>
        <v>3014340686</v>
      </c>
      <c r="D10" s="37">
        <f>'Consumo Médio - Clientes'!AX7</f>
        <v>1447</v>
      </c>
      <c r="E10" s="38">
        <f t="shared" ref="E10" si="2">F10/D10</f>
        <v>1.1531444367657222</v>
      </c>
      <c r="F10" s="37">
        <f t="shared" si="1"/>
        <v>1668.6</v>
      </c>
      <c r="G10" s="82">
        <f>'Consumo Médio - Clientes'!AY7</f>
        <v>0</v>
      </c>
      <c r="H10" s="39">
        <v>0.02</v>
      </c>
      <c r="I10" s="94">
        <v>0</v>
      </c>
      <c r="J10" s="94">
        <v>0.1</v>
      </c>
      <c r="K10" s="94">
        <v>0</v>
      </c>
      <c r="L10" s="94">
        <v>0</v>
      </c>
      <c r="M10" s="94">
        <v>0.2</v>
      </c>
      <c r="N10" s="94">
        <v>0.2</v>
      </c>
      <c r="O10" s="94">
        <v>0.2</v>
      </c>
    </row>
    <row r="11" spans="1:15" x14ac:dyDescent="0.2">
      <c r="A11" s="18" t="str">
        <f>'Consumo Médio - Clientes'!A8</f>
        <v>Fazenda Terra Mirante</v>
      </c>
      <c r="B11" s="18">
        <f>'Consumo Médio - Clientes'!B8</f>
        <v>7202158396</v>
      </c>
      <c r="C11" s="18">
        <f>'Consumo Médio - Clientes'!C8</f>
        <v>3002906325</v>
      </c>
      <c r="D11" s="37">
        <f>'Consumo Médio - Clientes'!AX8</f>
        <v>388</v>
      </c>
      <c r="E11" s="38">
        <f t="shared" si="0"/>
        <v>0.68853092783505154</v>
      </c>
      <c r="F11" s="37">
        <f t="shared" si="1"/>
        <v>267.14999999999998</v>
      </c>
      <c r="G11" s="82">
        <f>'Consumo Médio - Clientes'!AY8</f>
        <v>0</v>
      </c>
      <c r="H11" s="39">
        <v>5.0000000000000001E-3</v>
      </c>
      <c r="I11" s="94">
        <v>0</v>
      </c>
      <c r="J11" s="94">
        <v>0</v>
      </c>
      <c r="K11" s="94">
        <v>0</v>
      </c>
      <c r="L11" s="94">
        <v>0</v>
      </c>
      <c r="M11" s="94">
        <v>0</v>
      </c>
      <c r="N11" s="94">
        <v>0</v>
      </c>
      <c r="O11" s="94">
        <v>0</v>
      </c>
    </row>
    <row r="12" spans="1:15" x14ac:dyDescent="0.2">
      <c r="A12" s="18" t="str">
        <f>'Consumo Médio - Clientes'!A9</f>
        <v>Irmãs Martins Andrade LTDA-ME</v>
      </c>
      <c r="B12" s="18">
        <f>'Consumo Médio - Clientes'!B9</f>
        <v>7005723073</v>
      </c>
      <c r="C12" s="18">
        <f>'Consumo Médio - Clientes'!C9</f>
        <v>3002906806</v>
      </c>
      <c r="D12" s="37">
        <f>'Consumo Médio - Clientes'!AX9</f>
        <v>2262</v>
      </c>
      <c r="E12" s="38">
        <f t="shared" si="0"/>
        <v>0.6229442970822282</v>
      </c>
      <c r="F12" s="37">
        <f t="shared" si="1"/>
        <v>1409.1000000000001</v>
      </c>
      <c r="G12" s="82">
        <f>'Consumo Médio - Clientes'!AY9</f>
        <v>4764</v>
      </c>
      <c r="H12" s="39">
        <v>0</v>
      </c>
      <c r="I12" s="94">
        <v>3.0000000000000001E-3</v>
      </c>
      <c r="J12" s="94">
        <v>0</v>
      </c>
      <c r="K12" s="94">
        <v>0</v>
      </c>
      <c r="L12" s="94">
        <v>0</v>
      </c>
      <c r="M12" s="94">
        <v>0</v>
      </c>
      <c r="N12" s="94">
        <v>0</v>
      </c>
      <c r="O12" s="94">
        <v>0</v>
      </c>
    </row>
    <row r="13" spans="1:15" x14ac:dyDescent="0.2">
      <c r="A13" s="18" t="str">
        <f>'Consumo Médio - Clientes'!A10</f>
        <v>Supermercado Bela Vista</v>
      </c>
      <c r="B13" s="18">
        <f>'Consumo Médio - Clientes'!B10</f>
        <v>7009098124</v>
      </c>
      <c r="C13" s="18">
        <f>'Consumo Médio - Clientes'!C10</f>
        <v>3003388708</v>
      </c>
      <c r="D13" s="37">
        <f>'Consumo Médio - Clientes'!AX10</f>
        <v>5293</v>
      </c>
      <c r="E13" s="38">
        <f t="shared" si="0"/>
        <v>0.88739845078405444</v>
      </c>
      <c r="F13" s="37">
        <f t="shared" si="1"/>
        <v>4697</v>
      </c>
      <c r="G13" s="82">
        <f>'Consumo Médio - Clientes'!AY10</f>
        <v>2658</v>
      </c>
      <c r="H13" s="39">
        <v>0</v>
      </c>
      <c r="I13" s="94">
        <v>0.01</v>
      </c>
      <c r="J13" s="94">
        <v>0</v>
      </c>
      <c r="K13" s="94">
        <v>0</v>
      </c>
      <c r="L13" s="94">
        <v>0</v>
      </c>
      <c r="M13" s="94">
        <v>0</v>
      </c>
      <c r="N13" s="94">
        <v>0</v>
      </c>
      <c r="O13" s="94">
        <v>0</v>
      </c>
    </row>
    <row r="14" spans="1:15" x14ac:dyDescent="0.2">
      <c r="A14" s="18" t="str">
        <f>'Consumo Médio - Clientes'!A11</f>
        <v>Supermercado Bela Vista</v>
      </c>
      <c r="B14" s="18">
        <f>'Consumo Médio - Clientes'!B11</f>
        <v>7009098124</v>
      </c>
      <c r="C14" s="18">
        <f>'Consumo Médio - Clientes'!C11</f>
        <v>3010494037</v>
      </c>
      <c r="D14" s="37">
        <f>'Consumo Médio - Clientes'!AX11</f>
        <v>13467</v>
      </c>
      <c r="E14" s="38">
        <f t="shared" si="0"/>
        <v>0.87194623895448131</v>
      </c>
      <c r="F14" s="37">
        <f t="shared" si="1"/>
        <v>11742.5</v>
      </c>
      <c r="G14" s="82">
        <f>'Consumo Médio - Clientes'!AY11</f>
        <v>8076</v>
      </c>
      <c r="H14" s="39">
        <v>0</v>
      </c>
      <c r="I14" s="94">
        <v>2.5000000000000001E-2</v>
      </c>
      <c r="J14" s="94">
        <v>0</v>
      </c>
      <c r="K14" s="94">
        <v>0</v>
      </c>
      <c r="L14" s="94">
        <v>0</v>
      </c>
      <c r="M14" s="94">
        <v>0</v>
      </c>
      <c r="N14" s="94">
        <v>0</v>
      </c>
      <c r="O14" s="94">
        <v>0</v>
      </c>
    </row>
    <row r="15" spans="1:15" x14ac:dyDescent="0.2">
      <c r="A15" s="18" t="str">
        <f>'Consumo Médio - Clientes'!A12</f>
        <v>Supermercado Tia Lia</v>
      </c>
      <c r="B15" s="18">
        <f>'Consumo Médio - Clientes'!B12</f>
        <v>7005719624</v>
      </c>
      <c r="C15" s="18">
        <f>'Consumo Médio - Clientes'!C12</f>
        <v>3001268572</v>
      </c>
      <c r="D15" s="37">
        <f>'Consumo Médio - Clientes'!AX12</f>
        <v>3097</v>
      </c>
      <c r="E15" s="38">
        <f t="shared" si="0"/>
        <v>1.0203710041976106</v>
      </c>
      <c r="F15" s="37">
        <f t="shared" si="1"/>
        <v>3160.0889999999999</v>
      </c>
      <c r="G15" s="82">
        <f>'Consumo Médio - Clientes'!AY12</f>
        <v>0</v>
      </c>
      <c r="H15" s="39">
        <v>4.2299999999999997E-2</v>
      </c>
      <c r="I15" s="94">
        <v>0</v>
      </c>
      <c r="J15" s="94">
        <v>0.1</v>
      </c>
      <c r="K15" s="94">
        <v>0</v>
      </c>
      <c r="L15" s="94">
        <v>0</v>
      </c>
      <c r="M15" s="94">
        <v>0.3</v>
      </c>
      <c r="N15" s="94">
        <v>0.3</v>
      </c>
      <c r="O15" s="94">
        <v>0.3</v>
      </c>
    </row>
    <row r="16" spans="1:15" x14ac:dyDescent="0.2">
      <c r="A16" s="18" t="str">
        <f>'Consumo Médio - Clientes'!A13</f>
        <v>A M Lage</v>
      </c>
      <c r="B16" s="18">
        <f>'Consumo Médio - Clientes'!B13</f>
        <v>7005623640</v>
      </c>
      <c r="C16" s="18">
        <f>'Consumo Médio - Clientes'!C13</f>
        <v>3002176022</v>
      </c>
      <c r="D16" s="37">
        <f>'Consumo Médio - Clientes'!AX13</f>
        <v>6475</v>
      </c>
      <c r="E16" s="38">
        <f t="shared" si="0"/>
        <v>0.72540540540540543</v>
      </c>
      <c r="F16" s="37">
        <f t="shared" si="1"/>
        <v>4697</v>
      </c>
      <c r="G16" s="82">
        <f>'Consumo Médio - Clientes'!AY13</f>
        <v>8587</v>
      </c>
      <c r="H16" s="39">
        <v>0</v>
      </c>
      <c r="I16" s="94">
        <v>0.01</v>
      </c>
      <c r="J16" s="94">
        <v>0</v>
      </c>
      <c r="K16" s="94">
        <v>0</v>
      </c>
      <c r="L16" s="94">
        <v>0</v>
      </c>
      <c r="M16" s="94">
        <v>0</v>
      </c>
      <c r="N16" s="94">
        <v>0</v>
      </c>
      <c r="O16" s="94">
        <v>0</v>
      </c>
    </row>
    <row r="17" spans="1:15" x14ac:dyDescent="0.2">
      <c r="A17" s="18" t="str">
        <f>'Consumo Médio - Clientes'!A14</f>
        <v>Contabilidade Rocha</v>
      </c>
      <c r="B17" s="18">
        <f>'Consumo Médio - Clientes'!B14</f>
        <v>7202048247</v>
      </c>
      <c r="C17" s="18">
        <f>'Consumo Médio - Clientes'!C14</f>
        <v>3003586967</v>
      </c>
      <c r="D17" s="37">
        <f>'Consumo Médio - Clientes'!AX14</f>
        <v>289</v>
      </c>
      <c r="E17" s="38">
        <f t="shared" si="0"/>
        <v>0.83044982698961933</v>
      </c>
      <c r="F17" s="37">
        <f t="shared" si="1"/>
        <v>240</v>
      </c>
      <c r="G17" s="82">
        <f>'Consumo Médio - Clientes'!AY14</f>
        <v>151</v>
      </c>
      <c r="H17" s="39">
        <v>0</v>
      </c>
      <c r="I17" s="94">
        <v>0</v>
      </c>
      <c r="J17" s="94">
        <v>0</v>
      </c>
      <c r="K17" s="94">
        <v>0</v>
      </c>
      <c r="L17" s="94">
        <v>0.02</v>
      </c>
      <c r="M17" s="94">
        <v>0</v>
      </c>
      <c r="N17" s="94">
        <v>0</v>
      </c>
      <c r="O17" s="94">
        <v>0</v>
      </c>
    </row>
    <row r="18" spans="1:15" x14ac:dyDescent="0.2">
      <c r="A18" s="18" t="str">
        <f>'Consumo Médio - Clientes'!A15</f>
        <v>Contabilidade Rocha</v>
      </c>
      <c r="B18" s="18">
        <f>'Consumo Médio - Clientes'!B15</f>
        <v>7202048247</v>
      </c>
      <c r="C18" s="18">
        <f>'Consumo Médio - Clientes'!C15</f>
        <v>3000881551</v>
      </c>
      <c r="D18" s="37">
        <f>'Consumo Médio - Clientes'!AX15</f>
        <v>1514</v>
      </c>
      <c r="E18" s="38">
        <f t="shared" si="0"/>
        <v>0.87186261558784672</v>
      </c>
      <c r="F18" s="37">
        <f t="shared" si="1"/>
        <v>1320</v>
      </c>
      <c r="G18" s="82">
        <f>'Consumo Médio - Clientes'!AY15</f>
        <v>0</v>
      </c>
      <c r="H18" s="39">
        <v>0</v>
      </c>
      <c r="I18" s="94">
        <v>0</v>
      </c>
      <c r="J18" s="94">
        <v>0</v>
      </c>
      <c r="K18" s="94">
        <v>0</v>
      </c>
      <c r="L18" s="94">
        <v>0.11</v>
      </c>
      <c r="M18" s="94">
        <v>0</v>
      </c>
      <c r="N18" s="94">
        <v>0</v>
      </c>
      <c r="O18" s="94">
        <v>0</v>
      </c>
    </row>
    <row r="19" spans="1:15" x14ac:dyDescent="0.2">
      <c r="A19" s="18" t="str">
        <f>'Consumo Médio - Clientes'!A16</f>
        <v>Hotel Itabira</v>
      </c>
      <c r="B19" s="18">
        <f>'Consumo Médio - Clientes'!B16</f>
        <v>7005634342</v>
      </c>
      <c r="C19" s="18">
        <f>'Consumo Médio - Clientes'!C16</f>
        <v>3002906805</v>
      </c>
      <c r="D19" s="37">
        <f>'Consumo Médio - Clientes'!AX16</f>
        <v>2707</v>
      </c>
      <c r="E19" s="38">
        <f t="shared" si="0"/>
        <v>0.69405245659401549</v>
      </c>
      <c r="F19" s="37">
        <f t="shared" si="1"/>
        <v>1878.8</v>
      </c>
      <c r="G19" s="82">
        <f>'Consumo Médio - Clientes'!AY16</f>
        <v>3932</v>
      </c>
      <c r="H19" s="39">
        <v>0</v>
      </c>
      <c r="I19" s="94">
        <v>4.0000000000000001E-3</v>
      </c>
      <c r="J19" s="94">
        <v>0</v>
      </c>
      <c r="K19" s="94">
        <v>0</v>
      </c>
      <c r="L19" s="94">
        <v>0</v>
      </c>
      <c r="M19" s="94">
        <v>0</v>
      </c>
      <c r="N19" s="94">
        <v>0</v>
      </c>
      <c r="O19" s="94">
        <v>0</v>
      </c>
    </row>
    <row r="20" spans="1:15" x14ac:dyDescent="0.2">
      <c r="A20" s="18" t="str">
        <f>'Consumo Médio - Clientes'!A17</f>
        <v>Sindicato Metabase Itabira</v>
      </c>
      <c r="B20" s="18">
        <f>'Consumo Médio - Clientes'!B17</f>
        <v>7000047224</v>
      </c>
      <c r="C20" s="18">
        <f>'Consumo Médio - Clientes'!C17</f>
        <v>3001450247</v>
      </c>
      <c r="D20" s="37">
        <f>'Consumo Médio - Clientes'!AX17</f>
        <v>2996</v>
      </c>
      <c r="E20" s="38">
        <f t="shared" si="0"/>
        <v>0.62710280373831773</v>
      </c>
      <c r="F20" s="37">
        <f t="shared" si="1"/>
        <v>1878.8</v>
      </c>
      <c r="G20" s="82">
        <f>'Consumo Médio - Clientes'!AY17</f>
        <v>604</v>
      </c>
      <c r="H20" s="95">
        <v>0</v>
      </c>
      <c r="I20" s="94">
        <v>4.0000000000000001E-3</v>
      </c>
      <c r="J20" s="94">
        <v>0</v>
      </c>
      <c r="K20" s="94">
        <v>0</v>
      </c>
      <c r="L20" s="94">
        <v>0</v>
      </c>
      <c r="M20" s="94">
        <v>0</v>
      </c>
      <c r="N20" s="94">
        <v>0</v>
      </c>
      <c r="O20" s="94">
        <v>0</v>
      </c>
    </row>
    <row r="21" spans="1:15" x14ac:dyDescent="0.2">
      <c r="A21" s="18" t="str">
        <f>'Consumo Médio - Clientes'!A18</f>
        <v>Orbis Energia</v>
      </c>
      <c r="B21" s="18">
        <f>'Consumo Médio - Clientes'!B18</f>
        <v>7202360028</v>
      </c>
      <c r="C21" s="18">
        <f>'Consumo Médio - Clientes'!C18</f>
        <v>3012107385</v>
      </c>
      <c r="D21" s="37">
        <f>'Consumo Médio - Clientes'!AX18</f>
        <v>534</v>
      </c>
      <c r="E21" s="38">
        <f t="shared" si="0"/>
        <v>0.20011235955056181</v>
      </c>
      <c r="F21" s="37">
        <f t="shared" si="1"/>
        <v>106.86</v>
      </c>
      <c r="G21" s="82">
        <f>'Consumo Médio - Clientes'!AY18</f>
        <v>3139</v>
      </c>
      <c r="H21" s="95">
        <v>2E-3</v>
      </c>
      <c r="I21" s="94">
        <v>0</v>
      </c>
      <c r="J21" s="94">
        <v>0.1</v>
      </c>
      <c r="K21" s="94">
        <v>0</v>
      </c>
      <c r="L21" s="94">
        <v>0</v>
      </c>
      <c r="M21" s="94">
        <v>0</v>
      </c>
      <c r="N21" s="94">
        <v>0</v>
      </c>
      <c r="O21" s="94">
        <v>0</v>
      </c>
    </row>
    <row r="22" spans="1:15" x14ac:dyDescent="0.2">
      <c r="A22" s="18" t="str">
        <f>'Consumo Médio - Clientes'!A19</f>
        <v>Funcesi</v>
      </c>
      <c r="B22" s="18">
        <f>'Consumo Médio - Clientes'!B19</f>
        <v>7201768092</v>
      </c>
      <c r="C22" s="18">
        <f>'Consumo Médio - Clientes'!C19</f>
        <v>3009018668</v>
      </c>
      <c r="D22" s="37" t="e">
        <f>'Consumo Médio - Clientes'!AX19</f>
        <v>#DIV/0!</v>
      </c>
      <c r="E22" s="38" t="e">
        <f t="shared" si="0"/>
        <v>#DIV/0!</v>
      </c>
      <c r="F22" s="37">
        <f t="shared" si="1"/>
        <v>0</v>
      </c>
      <c r="G22" s="82">
        <f>'Consumo Médio - Clientes'!AY19</f>
        <v>0</v>
      </c>
      <c r="H22" s="39">
        <v>0</v>
      </c>
      <c r="I22" s="94">
        <v>0</v>
      </c>
      <c r="J22" s="94">
        <v>0</v>
      </c>
      <c r="K22" s="94">
        <v>0</v>
      </c>
      <c r="L22" s="94">
        <v>0</v>
      </c>
      <c r="M22" s="94">
        <v>0</v>
      </c>
      <c r="N22" s="94">
        <v>0</v>
      </c>
      <c r="O22" s="94">
        <v>0</v>
      </c>
    </row>
    <row r="23" spans="1:15" x14ac:dyDescent="0.2">
      <c r="A23" s="18" t="str">
        <f>'Consumo Médio - Clientes'!A20</f>
        <v>WB JS Comunicação</v>
      </c>
      <c r="B23" s="18">
        <f>'Consumo Médio - Clientes'!B20</f>
        <v>7010498067</v>
      </c>
      <c r="C23" s="18">
        <f>'Consumo Médio - Clientes'!C20</f>
        <v>3013027271</v>
      </c>
      <c r="D23" s="37">
        <f>'Consumo Médio - Clientes'!AX20</f>
        <v>2880</v>
      </c>
      <c r="E23" s="38">
        <f>F23/D23</f>
        <v>1.0203645833333335</v>
      </c>
      <c r="F23" s="37">
        <f t="shared" si="1"/>
        <v>2938.65</v>
      </c>
      <c r="G23" s="82">
        <f>'Consumo Médio - Clientes'!AY20</f>
        <v>0</v>
      </c>
      <c r="H23" s="39">
        <v>5.5E-2</v>
      </c>
      <c r="I23" s="94">
        <v>0</v>
      </c>
      <c r="J23" s="94">
        <v>0.1</v>
      </c>
      <c r="K23" s="94">
        <v>0</v>
      </c>
      <c r="L23" s="94">
        <v>0</v>
      </c>
      <c r="M23" s="94">
        <v>0</v>
      </c>
      <c r="N23" s="94">
        <v>0</v>
      </c>
      <c r="O23" s="94">
        <v>0</v>
      </c>
    </row>
    <row r="24" spans="1:15" x14ac:dyDescent="0.2">
      <c r="A24" s="18" t="str">
        <f>'Consumo Médio - Clientes'!A21</f>
        <v>ART Pão de Itabira</v>
      </c>
      <c r="B24" s="18">
        <f>'Consumo Médio - Clientes'!B21</f>
        <v>7005530163</v>
      </c>
      <c r="C24" s="18">
        <f>'Consumo Médio - Clientes'!C21</f>
        <v>3003562994</v>
      </c>
      <c r="D24" s="37">
        <f>'Consumo Médio - Clientes'!AX21</f>
        <v>3344</v>
      </c>
      <c r="E24" s="38">
        <f t="shared" ref="E24" si="3">F24/D24</f>
        <v>0.91299342105263148</v>
      </c>
      <c r="F24" s="37">
        <f t="shared" si="1"/>
        <v>3053.0499999999997</v>
      </c>
      <c r="G24" s="82">
        <f>'Consumo Médio - Clientes'!AY21</f>
        <v>4862</v>
      </c>
      <c r="H24" s="39">
        <v>0</v>
      </c>
      <c r="I24" s="94">
        <v>6.4999999999999997E-3</v>
      </c>
      <c r="J24" s="94">
        <v>0</v>
      </c>
      <c r="K24" s="94">
        <v>0</v>
      </c>
      <c r="L24" s="94">
        <v>0</v>
      </c>
      <c r="M24" s="94">
        <v>0</v>
      </c>
      <c r="N24" s="94">
        <v>0</v>
      </c>
      <c r="O24" s="94">
        <v>0</v>
      </c>
    </row>
    <row r="25" spans="1:15" x14ac:dyDescent="0.2">
      <c r="A25" s="18" t="str">
        <f>'Consumo Médio - Clientes'!A22</f>
        <v>Hortifruti QueBom</v>
      </c>
      <c r="B25" s="18">
        <f>'Consumo Médio - Clientes'!B22</f>
        <v>7202402563</v>
      </c>
      <c r="C25" s="18">
        <f>'Consumo Médio - Clientes'!C22</f>
        <v>3006700739</v>
      </c>
      <c r="D25" s="37">
        <f>'Consumo Médio - Clientes'!AX22</f>
        <v>4243</v>
      </c>
      <c r="E25" s="38">
        <f t="shared" ref="E25" si="4">F25/D25</f>
        <v>0.83024982323827479</v>
      </c>
      <c r="F25" s="37">
        <f t="shared" si="1"/>
        <v>3522.75</v>
      </c>
      <c r="G25" s="82">
        <f>'Consumo Médio - Clientes'!AY22</f>
        <v>2163</v>
      </c>
      <c r="H25" s="39">
        <v>0</v>
      </c>
      <c r="I25" s="94">
        <v>7.4999999999999997E-3</v>
      </c>
      <c r="J25" s="94">
        <v>0</v>
      </c>
      <c r="K25" s="94">
        <v>0</v>
      </c>
      <c r="L25" s="94">
        <v>0</v>
      </c>
      <c r="M25" s="94">
        <v>0</v>
      </c>
      <c r="N25" s="94">
        <v>0</v>
      </c>
      <c r="O25" s="94">
        <v>0</v>
      </c>
    </row>
    <row r="26" spans="1:15" x14ac:dyDescent="0.2">
      <c r="A26" s="18" t="str">
        <f>'Consumo Médio - Clientes'!A23</f>
        <v>Maria do Carmo Oliveira Olimpio</v>
      </c>
      <c r="B26" s="18">
        <f>'Consumo Médio - Clientes'!B23</f>
        <v>7202760807</v>
      </c>
      <c r="C26" s="18">
        <f>'Consumo Médio - Clientes'!C23</f>
        <v>3012940288</v>
      </c>
      <c r="D26" s="37">
        <f>'Consumo Médio - Clientes'!AX23</f>
        <v>2437</v>
      </c>
      <c r="E26" s="38">
        <f t="shared" ref="E26" si="5">F26/D26</f>
        <v>0.98660237997537947</v>
      </c>
      <c r="F26" s="37">
        <f t="shared" si="1"/>
        <v>2404.35</v>
      </c>
      <c r="G26" s="82">
        <f>'Consumo Médio - Clientes'!AY23</f>
        <v>181</v>
      </c>
      <c r="H26" s="39">
        <v>4.4999999999999998E-2</v>
      </c>
      <c r="I26" s="94">
        <v>0</v>
      </c>
      <c r="J26" s="94">
        <v>0.1</v>
      </c>
      <c r="K26" s="94">
        <v>0</v>
      </c>
      <c r="L26" s="94">
        <v>0</v>
      </c>
      <c r="M26" s="94">
        <v>0</v>
      </c>
      <c r="N26" s="94">
        <v>0</v>
      </c>
      <c r="O26" s="94">
        <v>0</v>
      </c>
    </row>
    <row r="27" spans="1:15" x14ac:dyDescent="0.2">
      <c r="A27" s="18" t="str">
        <f>'Consumo Médio - Clientes'!A24</f>
        <v>Jordana de Castro Comercio</v>
      </c>
      <c r="B27" s="18">
        <f>'Consumo Médio - Clientes'!B24</f>
        <v>7202482231</v>
      </c>
      <c r="C27" s="18">
        <f>'Consumo Médio - Clientes'!C24</f>
        <v>3004607095</v>
      </c>
      <c r="D27" s="37">
        <f>'Consumo Médio - Clientes'!AX24</f>
        <v>559</v>
      </c>
      <c r="E27" s="38">
        <f t="shared" ref="E27" si="6">F27/D27</f>
        <v>0.95581395348837206</v>
      </c>
      <c r="F27" s="37">
        <f t="shared" si="1"/>
        <v>534.29999999999995</v>
      </c>
      <c r="G27" s="82">
        <f>'Consumo Médio - Clientes'!AY24</f>
        <v>113</v>
      </c>
      <c r="H27" s="39">
        <v>0.01</v>
      </c>
      <c r="I27" s="94">
        <v>0</v>
      </c>
      <c r="J27" s="94">
        <v>0</v>
      </c>
      <c r="K27" s="94">
        <v>0</v>
      </c>
      <c r="L27" s="94">
        <v>0</v>
      </c>
      <c r="M27" s="94">
        <v>0</v>
      </c>
      <c r="N27" s="94">
        <v>0</v>
      </c>
      <c r="O27" s="94">
        <v>0</v>
      </c>
    </row>
    <row r="28" spans="1:15" x14ac:dyDescent="0.2">
      <c r="A28" s="18" t="str">
        <f>'Consumo Médio - Clientes'!A25</f>
        <v>Jordana de Castro Comercio</v>
      </c>
      <c r="B28" s="18">
        <f>'Consumo Médio - Clientes'!B25</f>
        <v>7202482231</v>
      </c>
      <c r="C28" s="18">
        <f>'Consumo Médio - Clientes'!C25</f>
        <v>3005534144</v>
      </c>
      <c r="D28" s="37">
        <f>'Consumo Médio - Clientes'!AX25</f>
        <v>258</v>
      </c>
      <c r="E28" s="38">
        <f t="shared" ref="E28:E32" si="7">F28/D28</f>
        <v>2.0709302325581394E-2</v>
      </c>
      <c r="F28" s="37">
        <f t="shared" si="1"/>
        <v>5.343</v>
      </c>
      <c r="G28" s="82">
        <f>'Consumo Médio - Clientes'!AY25</f>
        <v>1179</v>
      </c>
      <c r="H28" s="39">
        <v>1E-4</v>
      </c>
      <c r="I28" s="94">
        <v>0</v>
      </c>
      <c r="J28" s="94">
        <v>0</v>
      </c>
      <c r="K28" s="94">
        <v>0</v>
      </c>
      <c r="L28" s="94">
        <v>0</v>
      </c>
      <c r="M28" s="94">
        <v>0</v>
      </c>
      <c r="N28" s="94">
        <v>0</v>
      </c>
      <c r="O28" s="94">
        <v>0</v>
      </c>
    </row>
    <row r="29" spans="1:15" x14ac:dyDescent="0.2">
      <c r="A29" s="18" t="str">
        <f>'Consumo Médio - Clientes'!A26</f>
        <v>Dr Redes (Consórcio)</v>
      </c>
      <c r="B29" s="18">
        <f>'Consumo Médio - Clientes'!B26</f>
        <v>7201768092</v>
      </c>
      <c r="C29" s="18">
        <f>'Consumo Médio - Clientes'!C26</f>
        <v>3012189878</v>
      </c>
      <c r="D29" s="37">
        <f>'Consumo Médio - Clientes'!AX26</f>
        <v>879</v>
      </c>
      <c r="E29" s="38">
        <f t="shared" si="7"/>
        <v>1.0921501706484642</v>
      </c>
      <c r="F29" s="37">
        <f t="shared" si="1"/>
        <v>960</v>
      </c>
      <c r="G29" s="82">
        <f>'Consumo Médio - Clientes'!AY26</f>
        <v>0</v>
      </c>
      <c r="H29" s="39">
        <v>0</v>
      </c>
      <c r="I29" s="94">
        <v>0</v>
      </c>
      <c r="J29" s="94">
        <v>0</v>
      </c>
      <c r="K29" s="94">
        <v>0</v>
      </c>
      <c r="L29" s="94">
        <v>0.08</v>
      </c>
      <c r="M29" s="94">
        <v>0</v>
      </c>
      <c r="N29" s="94">
        <v>0</v>
      </c>
      <c r="O29" s="94">
        <v>0</v>
      </c>
    </row>
    <row r="30" spans="1:15" x14ac:dyDescent="0.2">
      <c r="A30" s="18" t="str">
        <f>'Consumo Médio - Clientes'!A27</f>
        <v>Sanati (Consórcio)</v>
      </c>
      <c r="B30" s="18">
        <f>'Consumo Médio - Clientes'!B27</f>
        <v>7201768092</v>
      </c>
      <c r="C30" s="18">
        <f>'Consumo Médio - Clientes'!C27</f>
        <v>3001450194</v>
      </c>
      <c r="D30" s="37">
        <f>'Consumo Médio - Clientes'!AX27</f>
        <v>542</v>
      </c>
      <c r="E30" s="38">
        <f t="shared" si="7"/>
        <v>0.78863468634686351</v>
      </c>
      <c r="F30" s="37">
        <f t="shared" si="1"/>
        <v>427.44</v>
      </c>
      <c r="G30" s="82">
        <f>'Consumo Médio - Clientes'!AY27</f>
        <v>386</v>
      </c>
      <c r="H30" s="39">
        <v>8.0000000000000002E-3</v>
      </c>
      <c r="I30" s="94">
        <v>0</v>
      </c>
      <c r="J30" s="94">
        <v>0.05</v>
      </c>
      <c r="K30" s="94">
        <v>0</v>
      </c>
      <c r="L30" s="94">
        <v>0</v>
      </c>
      <c r="M30" s="94">
        <v>0</v>
      </c>
      <c r="N30" s="94">
        <v>0</v>
      </c>
      <c r="O30" s="94">
        <v>0</v>
      </c>
    </row>
    <row r="31" spans="1:15" x14ac:dyDescent="0.2">
      <c r="A31" s="18" t="str">
        <f>'Consumo Médio - Clientes'!A28</f>
        <v>Renato (Orbis)</v>
      </c>
      <c r="B31" s="18">
        <f>'Consumo Médio - Clientes'!B28</f>
        <v>7202360028</v>
      </c>
      <c r="C31" s="18">
        <f>'Consumo Médio - Clientes'!C28</f>
        <v>3014183803</v>
      </c>
      <c r="D31" s="37">
        <f>'Consumo Médio - Clientes'!AX28</f>
        <v>380</v>
      </c>
      <c r="E31" s="38">
        <f t="shared" si="7"/>
        <v>0.4218157894736842</v>
      </c>
      <c r="F31" s="37">
        <f t="shared" si="1"/>
        <v>160.29</v>
      </c>
      <c r="G31" s="82">
        <f>'Consumo Médio - Clientes'!AY28</f>
        <v>217</v>
      </c>
      <c r="H31" s="39">
        <v>3.0000000000000001E-3</v>
      </c>
      <c r="I31" s="94">
        <v>0</v>
      </c>
      <c r="J31" s="94">
        <v>0</v>
      </c>
      <c r="K31" s="94">
        <v>0</v>
      </c>
      <c r="L31" s="94">
        <v>0</v>
      </c>
      <c r="M31" s="94">
        <v>0</v>
      </c>
      <c r="N31" s="94">
        <v>0</v>
      </c>
      <c r="O31" s="94">
        <v>0</v>
      </c>
    </row>
    <row r="32" spans="1:15" x14ac:dyDescent="0.2">
      <c r="A32" s="18" t="str">
        <f>'Consumo Médio - Clientes'!A29</f>
        <v>Somatis_Clinica Fisioterapia</v>
      </c>
      <c r="B32" s="18">
        <f>'Consumo Médio - Clientes'!B29</f>
        <v>7005466339</v>
      </c>
      <c r="C32" s="18">
        <f>'Consumo Médio - Clientes'!C29</f>
        <v>3013791114</v>
      </c>
      <c r="D32" s="37">
        <f>'Consumo Médio - Clientes'!AX29</f>
        <v>400</v>
      </c>
      <c r="E32" s="38">
        <f t="shared" si="7"/>
        <v>1.33575E-2</v>
      </c>
      <c r="F32" s="37">
        <f t="shared" si="1"/>
        <v>5.343</v>
      </c>
      <c r="G32" s="82">
        <f>'Consumo Médio - Clientes'!AY29</f>
        <v>1163</v>
      </c>
      <c r="H32" s="39">
        <v>1E-4</v>
      </c>
      <c r="I32" s="94">
        <v>0</v>
      </c>
      <c r="J32" s="94">
        <v>0</v>
      </c>
      <c r="K32" s="94">
        <v>0</v>
      </c>
      <c r="L32" s="94">
        <v>0</v>
      </c>
      <c r="M32" s="94">
        <v>0</v>
      </c>
      <c r="N32" s="94">
        <v>0</v>
      </c>
      <c r="O32" s="94">
        <v>0</v>
      </c>
    </row>
    <row r="33" spans="1:15" x14ac:dyDescent="0.2">
      <c r="A33" s="18" t="str">
        <f>'Consumo Médio - Clientes'!A30</f>
        <v>Somatis_Clinica Fisioterapia</v>
      </c>
      <c r="B33" s="18">
        <f>'Consumo Médio - Clientes'!B30</f>
        <v>7005466339</v>
      </c>
      <c r="C33" s="18">
        <f>'Consumo Médio - Clientes'!C30</f>
        <v>3002619862</v>
      </c>
      <c r="D33" s="37">
        <f>'Consumo Médio - Clientes'!AX30</f>
        <v>882</v>
      </c>
      <c r="E33" s="38">
        <f t="shared" ref="E33" si="8">F33/D33</f>
        <v>0.84809523809523812</v>
      </c>
      <c r="F33" s="37">
        <f t="shared" si="1"/>
        <v>748.02</v>
      </c>
      <c r="G33" s="82">
        <f>'Consumo Médio - Clientes'!AY30</f>
        <v>0</v>
      </c>
      <c r="H33" s="39">
        <v>1.4E-2</v>
      </c>
      <c r="I33" s="94">
        <v>0</v>
      </c>
      <c r="J33" s="94">
        <v>0</v>
      </c>
      <c r="K33" s="94">
        <v>0</v>
      </c>
      <c r="L33" s="94">
        <v>0</v>
      </c>
      <c r="M33" s="94">
        <v>0</v>
      </c>
      <c r="N33" s="94">
        <v>0</v>
      </c>
      <c r="O33" s="94">
        <v>0</v>
      </c>
    </row>
    <row r="34" spans="1:15" x14ac:dyDescent="0.2">
      <c r="A34" s="18" t="str">
        <f>'Consumo Médio - Clientes'!A31</f>
        <v>Lanza Magalhães_Dr. Pet</v>
      </c>
      <c r="B34" s="18">
        <f>'Consumo Médio - Clientes'!B31</f>
        <v>7200135835</v>
      </c>
      <c r="C34" s="18">
        <f>'Consumo Médio - Clientes'!C31</f>
        <v>3001450251</v>
      </c>
      <c r="D34" s="37">
        <f>'Consumo Médio - Clientes'!AX31</f>
        <v>770</v>
      </c>
      <c r="E34" s="38">
        <f t="shared" ref="E34:E38" si="9">F34/D34</f>
        <v>0.93506493506493504</v>
      </c>
      <c r="F34" s="37">
        <f t="shared" si="1"/>
        <v>720</v>
      </c>
      <c r="G34" s="82">
        <f>'Consumo Médio - Clientes'!AY31</f>
        <v>0</v>
      </c>
      <c r="H34" s="39">
        <v>0</v>
      </c>
      <c r="I34" s="94">
        <v>0</v>
      </c>
      <c r="J34" s="94">
        <v>0</v>
      </c>
      <c r="K34" s="94">
        <v>0.06</v>
      </c>
      <c r="L34" s="94">
        <v>0</v>
      </c>
      <c r="M34" s="94">
        <v>0</v>
      </c>
      <c r="N34" s="94">
        <v>0</v>
      </c>
      <c r="O34" s="94">
        <v>0</v>
      </c>
    </row>
    <row r="35" spans="1:15" x14ac:dyDescent="0.2">
      <c r="A35" s="18" t="str">
        <f>'Consumo Médio - Clientes'!A32</f>
        <v>Celso Matozinho_Serra 1 (Consórcio)</v>
      </c>
      <c r="B35" s="18">
        <f>'Consumo Médio - Clientes'!B32</f>
        <v>7201768092</v>
      </c>
      <c r="C35" s="18">
        <f>'Consumo Médio - Clientes'!C32</f>
        <v>3012262751</v>
      </c>
      <c r="D35" s="37">
        <f>'Consumo Médio - Clientes'!AX32</f>
        <v>235</v>
      </c>
      <c r="E35" s="38">
        <f t="shared" si="9"/>
        <v>2.2736170212765958E-2</v>
      </c>
      <c r="F35" s="37">
        <f t="shared" si="1"/>
        <v>5.343</v>
      </c>
      <c r="G35" s="82">
        <f>'Consumo Médio - Clientes'!AY32</f>
        <v>913</v>
      </c>
      <c r="H35" s="39">
        <v>1E-4</v>
      </c>
      <c r="I35" s="94">
        <v>0</v>
      </c>
      <c r="J35" s="94">
        <v>0.03</v>
      </c>
      <c r="K35" s="94">
        <v>0</v>
      </c>
      <c r="L35" s="94">
        <v>0</v>
      </c>
      <c r="M35" s="94">
        <v>0</v>
      </c>
      <c r="N35" s="94">
        <v>0</v>
      </c>
      <c r="O35" s="94">
        <v>0</v>
      </c>
    </row>
    <row r="36" spans="1:15" x14ac:dyDescent="0.2">
      <c r="A36" s="18" t="str">
        <f>'Consumo Médio - Clientes'!A33</f>
        <v>Celso Matozinho_Serra 2 (Consórcio)</v>
      </c>
      <c r="B36" s="18">
        <f>'Consumo Médio - Clientes'!B33</f>
        <v>7201768092</v>
      </c>
      <c r="C36" s="18">
        <f>'Consumo Médio - Clientes'!C33</f>
        <v>3007395349</v>
      </c>
      <c r="D36" s="37">
        <f>'Consumo Médio - Clientes'!AX33</f>
        <v>247</v>
      </c>
      <c r="E36" s="38">
        <f t="shared" si="9"/>
        <v>2.1631578947368422E-2</v>
      </c>
      <c r="F36" s="37">
        <f t="shared" si="1"/>
        <v>5.343</v>
      </c>
      <c r="G36" s="82">
        <f>'Consumo Médio - Clientes'!AY33</f>
        <v>686</v>
      </c>
      <c r="H36" s="39">
        <v>1E-4</v>
      </c>
      <c r="I36" s="94">
        <v>0</v>
      </c>
      <c r="J36" s="94">
        <v>0.03</v>
      </c>
      <c r="K36" s="94">
        <v>0</v>
      </c>
      <c r="L36" s="94">
        <v>0</v>
      </c>
      <c r="M36" s="94">
        <v>0</v>
      </c>
      <c r="N36" s="94">
        <v>0</v>
      </c>
      <c r="O36" s="94">
        <v>0</v>
      </c>
    </row>
    <row r="37" spans="1:15" x14ac:dyDescent="0.2">
      <c r="A37" s="18" t="str">
        <f>'Consumo Médio - Clientes'!A34</f>
        <v>Celso Matozinho_BH (Consórcio)</v>
      </c>
      <c r="B37" s="18">
        <f>'Consumo Médio - Clientes'!B34</f>
        <v>7201768092</v>
      </c>
      <c r="C37" s="18">
        <f>'Consumo Médio - Clientes'!C34</f>
        <v>3001780367</v>
      </c>
      <c r="D37" s="37">
        <f>'Consumo Médio - Clientes'!AX34</f>
        <v>203</v>
      </c>
      <c r="E37" s="38">
        <f t="shared" si="9"/>
        <v>2.6320197044334977E-2</v>
      </c>
      <c r="F37" s="37">
        <f t="shared" si="1"/>
        <v>5.343</v>
      </c>
      <c r="G37" s="82">
        <f>'Consumo Médio - Clientes'!AY34</f>
        <v>1782</v>
      </c>
      <c r="H37" s="39">
        <v>1E-4</v>
      </c>
      <c r="I37" s="94">
        <v>0</v>
      </c>
      <c r="J37" s="94">
        <v>0</v>
      </c>
      <c r="K37" s="94">
        <v>0</v>
      </c>
      <c r="L37" s="94">
        <v>0</v>
      </c>
      <c r="M37" s="94">
        <v>0</v>
      </c>
      <c r="N37" s="94">
        <v>0</v>
      </c>
      <c r="O37" s="94">
        <v>0</v>
      </c>
    </row>
    <row r="38" spans="1:15" x14ac:dyDescent="0.2">
      <c r="A38" s="18" t="str">
        <f>'Consumo Médio - Clientes'!A35</f>
        <v>Celso Matozinho_Itabira (Consórcio)</v>
      </c>
      <c r="B38" s="18">
        <f>'Consumo Médio - Clientes'!B35</f>
        <v>7201768092</v>
      </c>
      <c r="C38" s="18">
        <f>'Consumo Médio - Clientes'!C35</f>
        <v>3000914060</v>
      </c>
      <c r="D38" s="37">
        <f>'Consumo Médio - Clientes'!AX35</f>
        <v>434</v>
      </c>
      <c r="E38" s="38">
        <f t="shared" si="9"/>
        <v>0.98488479262672812</v>
      </c>
      <c r="F38" s="37">
        <f t="shared" si="1"/>
        <v>427.44</v>
      </c>
      <c r="G38" s="82">
        <f>'Consumo Médio - Clientes'!AY35</f>
        <v>0</v>
      </c>
      <c r="H38" s="39">
        <v>8.0000000000000002E-3</v>
      </c>
      <c r="I38" s="94">
        <v>0</v>
      </c>
      <c r="J38" s="94">
        <v>0.04</v>
      </c>
      <c r="K38" s="94">
        <v>0</v>
      </c>
      <c r="L38" s="94">
        <v>0</v>
      </c>
      <c r="M38" s="94">
        <v>0</v>
      </c>
      <c r="N38" s="94">
        <v>0</v>
      </c>
      <c r="O38" s="94">
        <v>0</v>
      </c>
    </row>
    <row r="39" spans="1:15" x14ac:dyDescent="0.2">
      <c r="A39" s="18" t="str">
        <f>'Consumo Médio - Clientes'!A36</f>
        <v>Carlos Roberto</v>
      </c>
      <c r="B39" s="18">
        <f>'Consumo Médio - Clientes'!B36</f>
        <v>7005439127</v>
      </c>
      <c r="C39" s="18">
        <f>'Consumo Médio - Clientes'!C36</f>
        <v>3012512271</v>
      </c>
      <c r="D39" s="37">
        <f>'Consumo Médio - Clientes'!AX36</f>
        <v>489</v>
      </c>
      <c r="E39" s="38">
        <f t="shared" ref="E39:E41" si="10">F39/D39</f>
        <v>1.2019018404907975</v>
      </c>
      <c r="F39" s="37">
        <f t="shared" si="1"/>
        <v>587.73</v>
      </c>
      <c r="G39" s="82">
        <f>'Consumo Médio - Clientes'!AY36</f>
        <v>51</v>
      </c>
      <c r="H39" s="39">
        <v>1.0999999999999999E-2</v>
      </c>
      <c r="I39" s="94">
        <v>0</v>
      </c>
      <c r="J39" s="94">
        <v>0</v>
      </c>
      <c r="K39" s="94">
        <v>0</v>
      </c>
      <c r="L39" s="94">
        <v>0</v>
      </c>
      <c r="M39" s="94">
        <v>0</v>
      </c>
      <c r="N39" s="94">
        <v>0</v>
      </c>
      <c r="O39" s="94">
        <v>0</v>
      </c>
    </row>
    <row r="40" spans="1:15" x14ac:dyDescent="0.2">
      <c r="A40" s="18" t="str">
        <f>'Consumo Médio - Clientes'!A37</f>
        <v>Simonica Rodrigues</v>
      </c>
      <c r="B40" s="18">
        <f>'Consumo Médio - Clientes'!B37</f>
        <v>7200317399</v>
      </c>
      <c r="C40" s="18">
        <f>'Consumo Médio - Clientes'!C37</f>
        <v>3011377412</v>
      </c>
      <c r="D40" s="37">
        <f>'Consumo Médio - Clientes'!AX37</f>
        <v>1353</v>
      </c>
      <c r="E40" s="38">
        <f t="shared" si="10"/>
        <v>0.90827050997782699</v>
      </c>
      <c r="F40" s="37">
        <f t="shared" si="1"/>
        <v>1228.8899999999999</v>
      </c>
      <c r="G40" s="82">
        <f>'Consumo Médio - Clientes'!AY37</f>
        <v>0</v>
      </c>
      <c r="H40" s="39">
        <v>2.3E-2</v>
      </c>
      <c r="I40" s="94">
        <v>0</v>
      </c>
      <c r="J40" s="94">
        <v>0</v>
      </c>
      <c r="K40" s="94">
        <v>0</v>
      </c>
      <c r="L40" s="94">
        <v>0</v>
      </c>
      <c r="M40" s="94">
        <v>0</v>
      </c>
      <c r="N40" s="94">
        <v>0</v>
      </c>
      <c r="O40" s="94">
        <v>0</v>
      </c>
    </row>
    <row r="41" spans="1:15" x14ac:dyDescent="0.2">
      <c r="A41" s="18" t="str">
        <f>'Consumo Médio - Clientes'!A38</f>
        <v>Hortifruti QueBom</v>
      </c>
      <c r="B41" s="18">
        <f>'Consumo Médio - Clientes'!B38</f>
        <v>7202402563</v>
      </c>
      <c r="C41" s="18">
        <f>'Consumo Médio - Clientes'!C38</f>
        <v>3012307446</v>
      </c>
      <c r="D41" s="37">
        <f>'Consumo Médio - Clientes'!AX38</f>
        <v>2547</v>
      </c>
      <c r="E41" s="38">
        <f t="shared" si="10"/>
        <v>0</v>
      </c>
      <c r="F41" s="37">
        <f t="shared" si="1"/>
        <v>0</v>
      </c>
      <c r="G41" s="82">
        <f>'Consumo Médio - Clientes'!AY38</f>
        <v>4797</v>
      </c>
      <c r="H41" s="39">
        <v>0</v>
      </c>
      <c r="I41" s="94">
        <v>0</v>
      </c>
      <c r="J41" s="94">
        <v>0</v>
      </c>
      <c r="K41" s="94">
        <v>0</v>
      </c>
      <c r="L41" s="94">
        <v>0</v>
      </c>
      <c r="M41" s="94">
        <v>0</v>
      </c>
      <c r="N41" s="94">
        <v>0</v>
      </c>
      <c r="O41" s="94">
        <v>0</v>
      </c>
    </row>
    <row r="42" spans="1:15" x14ac:dyDescent="0.2">
      <c r="A42" s="18" t="str">
        <f>'Consumo Médio - Clientes'!A39</f>
        <v>Padaria Bouzada I LTDA</v>
      </c>
      <c r="B42" s="18">
        <f>'Consumo Médio - Clientes'!B39</f>
        <v>7202646947</v>
      </c>
      <c r="C42" s="18">
        <f>'Consumo Médio - Clientes'!C39</f>
        <v>3004256972</v>
      </c>
      <c r="D42" s="37">
        <f>'Consumo Médio - Clientes'!AX39</f>
        <v>9946</v>
      </c>
      <c r="E42" s="38">
        <f t="shared" ref="E42" si="11">F42/D42</f>
        <v>0.99172531671023534</v>
      </c>
      <c r="F42" s="37">
        <f t="shared" si="1"/>
        <v>9863.7000000000007</v>
      </c>
      <c r="G42" s="82">
        <f>'Consumo Médio - Clientes'!AY39</f>
        <v>3275</v>
      </c>
      <c r="H42" s="39">
        <v>0</v>
      </c>
      <c r="I42" s="94">
        <v>2.1000000000000001E-2</v>
      </c>
      <c r="J42" s="94">
        <v>0</v>
      </c>
      <c r="K42" s="94">
        <v>0</v>
      </c>
      <c r="L42" s="94">
        <v>0</v>
      </c>
      <c r="M42" s="94">
        <v>0</v>
      </c>
      <c r="N42" s="94">
        <v>0</v>
      </c>
      <c r="O42" s="94">
        <v>0</v>
      </c>
    </row>
    <row r="43" spans="1:15" x14ac:dyDescent="0.2">
      <c r="A43" s="18" t="str">
        <f>'Consumo Médio - Clientes'!A40</f>
        <v>Fabrica Gelo Norma</v>
      </c>
      <c r="B43" s="18">
        <f>'Consumo Médio - Clientes'!B40</f>
        <v>7200746623</v>
      </c>
      <c r="C43" s="18">
        <f>'Consumo Médio - Clientes'!C40</f>
        <v>3002725236</v>
      </c>
      <c r="D43" s="37">
        <f>'Consumo Médio - Clientes'!AX40</f>
        <v>7720</v>
      </c>
      <c r="E43" s="38">
        <f t="shared" ref="E43" si="12">F43/D43</f>
        <v>0.91262953367875643</v>
      </c>
      <c r="F43" s="37">
        <f t="shared" si="1"/>
        <v>7045.5</v>
      </c>
      <c r="G43" s="82">
        <f>'Consumo Médio - Clientes'!AY40</f>
        <v>0</v>
      </c>
      <c r="H43" s="39">
        <v>0</v>
      </c>
      <c r="I43" s="94">
        <v>1.4999999999999999E-2</v>
      </c>
      <c r="J43" s="94">
        <v>0</v>
      </c>
      <c r="K43" s="94">
        <v>0</v>
      </c>
      <c r="L43" s="94">
        <v>0</v>
      </c>
      <c r="M43" s="94">
        <v>0</v>
      </c>
      <c r="N43" s="94">
        <v>0</v>
      </c>
      <c r="O43" s="94">
        <v>0</v>
      </c>
    </row>
    <row r="44" spans="1:15" x14ac:dyDescent="0.2">
      <c r="A44" s="18" t="str">
        <f>'Consumo Médio - Clientes'!A41</f>
        <v>MBLB Acabamentos Ltda</v>
      </c>
      <c r="B44" s="18">
        <f>'Consumo Médio - Clientes'!B41</f>
        <v>7005602485</v>
      </c>
      <c r="C44" s="18">
        <f>'Consumo Médio - Clientes'!C41</f>
        <v>3003245697</v>
      </c>
      <c r="D44" s="37">
        <f>'Consumo Médio - Clientes'!AX41</f>
        <v>1614</v>
      </c>
      <c r="E44" s="38">
        <f t="shared" ref="E44" si="13">F44/D44</f>
        <v>0.89219330855018586</v>
      </c>
      <c r="F44" s="37">
        <f t="shared" si="1"/>
        <v>1440</v>
      </c>
      <c r="G44" s="82">
        <f>'Consumo Médio - Clientes'!AY41</f>
        <v>10</v>
      </c>
      <c r="H44" s="39">
        <v>0</v>
      </c>
      <c r="I44" s="123">
        <v>0</v>
      </c>
      <c r="J44" s="94">
        <v>0</v>
      </c>
      <c r="K44" s="94">
        <v>0</v>
      </c>
      <c r="L44" s="94">
        <v>0.12</v>
      </c>
      <c r="M44" s="94">
        <v>0</v>
      </c>
      <c r="N44" s="94">
        <v>0</v>
      </c>
      <c r="O44" s="94">
        <v>0</v>
      </c>
    </row>
    <row r="45" spans="1:15" x14ac:dyDescent="0.2">
      <c r="A45" s="18" t="str">
        <f>'Consumo Médio - Clientes'!A42</f>
        <v>Cervejaria Portal da Canastra Ltda</v>
      </c>
      <c r="B45" s="18">
        <f>'Consumo Médio - Clientes'!B42</f>
        <v>7202649326</v>
      </c>
      <c r="C45" s="18">
        <f>'Consumo Médio - Clientes'!C42</f>
        <v>3014018953</v>
      </c>
      <c r="D45" s="37">
        <f>'Consumo Médio - Clientes'!AX42</f>
        <v>2480</v>
      </c>
      <c r="E45" s="38">
        <f t="shared" ref="E45" si="14">F45/D45</f>
        <v>0.72580645161290325</v>
      </c>
      <c r="F45" s="37">
        <f t="shared" si="1"/>
        <v>1800</v>
      </c>
      <c r="G45" s="82">
        <f>'Consumo Médio - Clientes'!AY42</f>
        <v>0</v>
      </c>
      <c r="H45" s="39">
        <v>0</v>
      </c>
      <c r="I45" s="94">
        <v>0</v>
      </c>
      <c r="J45" s="94">
        <v>0</v>
      </c>
      <c r="K45" s="94">
        <v>0</v>
      </c>
      <c r="L45" s="94">
        <v>0.15</v>
      </c>
      <c r="M45" s="94">
        <v>0</v>
      </c>
      <c r="N45" s="94">
        <v>0</v>
      </c>
      <c r="O45" s="94">
        <v>0</v>
      </c>
    </row>
    <row r="46" spans="1:15" x14ac:dyDescent="0.2">
      <c r="A46" s="18" t="str">
        <f>'Consumo Médio - Clientes'!A43</f>
        <v>Faculdade Maximum LTDA</v>
      </c>
      <c r="B46" s="18">
        <f>'Consumo Médio - Clientes'!B43</f>
        <v>7010221388</v>
      </c>
      <c r="C46" s="18">
        <f>'Consumo Médio - Clientes'!C43</f>
        <v>3001348433</v>
      </c>
      <c r="D46" s="37">
        <f>'Consumo Médio - Clientes'!AX43</f>
        <v>1068</v>
      </c>
      <c r="E46" s="38">
        <f t="shared" ref="E46:E49" si="15">F46/D46</f>
        <v>1.0112359550561798</v>
      </c>
      <c r="F46" s="37">
        <f t="shared" si="1"/>
        <v>1080</v>
      </c>
      <c r="G46" s="82">
        <f>'Consumo Médio - Clientes'!AY43</f>
        <v>0</v>
      </c>
      <c r="H46" s="39">
        <v>0</v>
      </c>
      <c r="I46" s="94">
        <v>0</v>
      </c>
      <c r="J46" s="94">
        <v>0</v>
      </c>
      <c r="K46" s="94">
        <v>0.09</v>
      </c>
      <c r="L46" s="94">
        <v>0</v>
      </c>
      <c r="M46" s="94">
        <v>0</v>
      </c>
      <c r="N46" s="94">
        <v>0</v>
      </c>
      <c r="O46" s="94">
        <v>0</v>
      </c>
    </row>
    <row r="47" spans="1:15" x14ac:dyDescent="0.2">
      <c r="A47" s="18" t="str">
        <f>'Consumo Médio - Clientes'!A44</f>
        <v>Otávio Reis Oliveira Pereira</v>
      </c>
      <c r="B47" s="18">
        <f>'Consumo Médio - Clientes'!B44</f>
        <v>7010540003</v>
      </c>
      <c r="C47" s="18">
        <f>'Consumo Médio - Clientes'!C44</f>
        <v>3010642300</v>
      </c>
      <c r="D47" s="37">
        <f>'Consumo Médio - Clientes'!AX44</f>
        <v>445</v>
      </c>
      <c r="E47" s="38">
        <f t="shared" si="15"/>
        <v>0.72040449438202248</v>
      </c>
      <c r="F47" s="37">
        <f t="shared" si="1"/>
        <v>320.58</v>
      </c>
      <c r="G47" s="82">
        <f>'Consumo Médio - Clientes'!AY44</f>
        <v>431</v>
      </c>
      <c r="H47" s="39">
        <v>6.0000000000000001E-3</v>
      </c>
      <c r="I47" s="94">
        <v>0</v>
      </c>
      <c r="J47" s="94">
        <v>0</v>
      </c>
      <c r="K47" s="94">
        <v>0</v>
      </c>
      <c r="L47" s="94">
        <v>0</v>
      </c>
      <c r="M47" s="94">
        <v>0</v>
      </c>
      <c r="N47" s="94">
        <v>0</v>
      </c>
      <c r="O47" s="94">
        <v>0</v>
      </c>
    </row>
    <row r="48" spans="1:15" x14ac:dyDescent="0.2">
      <c r="A48" s="18" t="str">
        <f>'Consumo Médio - Clientes'!A45</f>
        <v>Ortecon Acessoria LTDA</v>
      </c>
      <c r="B48" s="18">
        <f>'Consumo Médio - Clientes'!B45</f>
        <v>7010076392</v>
      </c>
      <c r="C48" s="18">
        <f>'Consumo Médio - Clientes'!C45</f>
        <v>3011515927</v>
      </c>
      <c r="D48" s="37">
        <f>'Consumo Médio - Clientes'!AX45</f>
        <v>1271</v>
      </c>
      <c r="E48" s="38">
        <f t="shared" si="15"/>
        <v>0.88279307631785997</v>
      </c>
      <c r="F48" s="37">
        <f t="shared" si="1"/>
        <v>1122.03</v>
      </c>
      <c r="G48" s="82">
        <f>'Consumo Médio - Clientes'!AY45</f>
        <v>0</v>
      </c>
      <c r="H48" s="39">
        <v>2.1000000000000001E-2</v>
      </c>
      <c r="I48" s="94">
        <v>0</v>
      </c>
      <c r="J48" s="94">
        <v>0</v>
      </c>
      <c r="K48" s="94">
        <v>0</v>
      </c>
      <c r="L48" s="94">
        <v>0</v>
      </c>
      <c r="M48" s="94">
        <v>0</v>
      </c>
      <c r="N48" s="94">
        <v>0</v>
      </c>
      <c r="O48" s="94">
        <v>0</v>
      </c>
    </row>
    <row r="49" spans="1:15" x14ac:dyDescent="0.2">
      <c r="A49" s="18" t="str">
        <f>'Consumo Médio - Clientes'!A46</f>
        <v>Zilda Soares da Costa Ltda</v>
      </c>
      <c r="B49" s="18">
        <f>'Consumo Médio - Clientes'!B46</f>
        <v>0</v>
      </c>
      <c r="C49" s="18">
        <f>'Consumo Médio - Clientes'!C46</f>
        <v>3000886634</v>
      </c>
      <c r="D49" s="37">
        <f>'Consumo Médio - Clientes'!AX46</f>
        <v>2638</v>
      </c>
      <c r="E49" s="38">
        <f t="shared" si="15"/>
        <v>0.9316830932524639</v>
      </c>
      <c r="F49" s="37">
        <f t="shared" si="1"/>
        <v>2457.7799999999997</v>
      </c>
      <c r="G49" s="82">
        <f>'Consumo Médio - Clientes'!AY46</f>
        <v>0</v>
      </c>
      <c r="H49" s="39">
        <v>4.5999999999999999E-2</v>
      </c>
      <c r="I49" s="94">
        <v>0</v>
      </c>
      <c r="J49" s="94">
        <v>0</v>
      </c>
      <c r="K49" s="94">
        <v>0</v>
      </c>
      <c r="L49" s="94">
        <v>0</v>
      </c>
      <c r="M49" s="94">
        <v>0</v>
      </c>
      <c r="N49" s="94">
        <v>0</v>
      </c>
      <c r="O49" s="94">
        <v>0</v>
      </c>
    </row>
    <row r="50" spans="1:15" x14ac:dyDescent="0.2">
      <c r="A50" s="18" t="str">
        <f>'Consumo Médio - Clientes'!A47</f>
        <v xml:space="preserve"> Israel Bernardo de Assis Silva</v>
      </c>
      <c r="B50" s="18">
        <f>'Consumo Médio - Clientes'!B47</f>
        <v>0</v>
      </c>
      <c r="C50" s="18">
        <f>'Consumo Médio - Clientes'!C47</f>
        <v>3000914420</v>
      </c>
      <c r="D50" s="37">
        <f>'Consumo Médio - Clientes'!AX47</f>
        <v>181</v>
      </c>
      <c r="E50" s="38">
        <f t="shared" ref="E50" si="16">F50/D50</f>
        <v>2.9519337016574585E-2</v>
      </c>
      <c r="F50" s="37">
        <f t="shared" si="1"/>
        <v>5.343</v>
      </c>
      <c r="G50" s="82">
        <f>'Consumo Médio - Clientes'!AY47</f>
        <v>1310</v>
      </c>
      <c r="H50" s="39">
        <v>1E-4</v>
      </c>
      <c r="I50" s="94">
        <v>0</v>
      </c>
      <c r="J50" s="94">
        <v>0</v>
      </c>
      <c r="K50" s="94">
        <v>0</v>
      </c>
      <c r="L50" s="94">
        <v>0</v>
      </c>
      <c r="M50" s="94">
        <v>0</v>
      </c>
      <c r="N50" s="94">
        <v>0</v>
      </c>
      <c r="O50" s="94">
        <v>0</v>
      </c>
    </row>
    <row r="51" spans="1:15" x14ac:dyDescent="0.2">
      <c r="A51" s="18" t="str">
        <f>'Consumo Médio - Clientes'!A48</f>
        <v>Recuperadora de Veículos UDIA</v>
      </c>
      <c r="B51" s="18">
        <f>'Consumo Médio - Clientes'!B48</f>
        <v>0</v>
      </c>
      <c r="C51" s="18">
        <f>'Consumo Médio - Clientes'!C48</f>
        <v>3005437596</v>
      </c>
      <c r="D51" s="37">
        <f>'Consumo Médio - Clientes'!AX48</f>
        <v>1853</v>
      </c>
      <c r="E51" s="38">
        <f t="shared" ref="E51:E56" si="17">F51/D51</f>
        <v>0.2534808418780356</v>
      </c>
      <c r="F51" s="37">
        <f t="shared" si="1"/>
        <v>469.7</v>
      </c>
      <c r="G51" s="82">
        <f>'Consumo Médio - Clientes'!AY48</f>
        <v>2510</v>
      </c>
      <c r="H51" s="39">
        <v>0</v>
      </c>
      <c r="I51" s="94">
        <v>1E-3</v>
      </c>
      <c r="J51" s="94">
        <v>0</v>
      </c>
      <c r="K51" s="94">
        <v>0</v>
      </c>
      <c r="L51" s="94">
        <v>0</v>
      </c>
      <c r="M51" s="94">
        <v>0</v>
      </c>
      <c r="N51" s="94">
        <v>0</v>
      </c>
      <c r="O51" s="94">
        <v>0</v>
      </c>
    </row>
    <row r="52" spans="1:15" x14ac:dyDescent="0.2">
      <c r="A52" s="18" t="str">
        <f>'Consumo Médio - Clientes'!A49</f>
        <v>Laticínios Moedense</v>
      </c>
      <c r="B52" s="18">
        <f>'Consumo Médio - Clientes'!B49</f>
        <v>7005258399</v>
      </c>
      <c r="C52" s="18">
        <f>'Consumo Médio - Clientes'!C49</f>
        <v>3000184598</v>
      </c>
      <c r="D52" s="37">
        <f>'Consumo Médio - Clientes'!AX49</f>
        <v>2861</v>
      </c>
      <c r="E52" s="38">
        <f t="shared" si="17"/>
        <v>0.98504019573575685</v>
      </c>
      <c r="F52" s="37">
        <f t="shared" si="1"/>
        <v>2818.2000000000003</v>
      </c>
      <c r="G52" s="82">
        <f>'Consumo Médio - Clientes'!AY49</f>
        <v>1996</v>
      </c>
      <c r="H52" s="39">
        <v>0</v>
      </c>
      <c r="I52" s="94">
        <v>6.0000000000000001E-3</v>
      </c>
      <c r="J52" s="94">
        <v>0</v>
      </c>
      <c r="K52" s="94">
        <v>0</v>
      </c>
      <c r="L52" s="94">
        <v>0</v>
      </c>
      <c r="M52" s="94">
        <v>0</v>
      </c>
      <c r="N52" s="94">
        <v>0</v>
      </c>
      <c r="O52" s="94">
        <v>0</v>
      </c>
    </row>
    <row r="53" spans="1:15" x14ac:dyDescent="0.2">
      <c r="A53" s="18" t="str">
        <f>'Consumo Médio - Clientes'!A50</f>
        <v>Laticínios Moedense</v>
      </c>
      <c r="B53" s="18">
        <f>'Consumo Médio - Clientes'!B50</f>
        <v>7005258399</v>
      </c>
      <c r="C53" s="18">
        <f>'Consumo Médio - Clientes'!C50</f>
        <v>3000227098</v>
      </c>
      <c r="D53" s="37">
        <f>'Consumo Médio - Clientes'!AX50</f>
        <v>4561</v>
      </c>
      <c r="E53" s="38">
        <f t="shared" si="17"/>
        <v>0.82385441789081337</v>
      </c>
      <c r="F53" s="37">
        <f t="shared" si="1"/>
        <v>3757.6</v>
      </c>
      <c r="G53" s="82">
        <f>'Consumo Médio - Clientes'!AY50</f>
        <v>9716</v>
      </c>
      <c r="H53" s="39">
        <v>0</v>
      </c>
      <c r="I53" s="94">
        <v>8.0000000000000002E-3</v>
      </c>
      <c r="J53" s="94">
        <v>0</v>
      </c>
      <c r="K53" s="94">
        <v>0</v>
      </c>
      <c r="L53" s="94">
        <v>0</v>
      </c>
      <c r="M53" s="94">
        <v>0</v>
      </c>
      <c r="N53" s="94">
        <v>0</v>
      </c>
      <c r="O53" s="94">
        <v>0</v>
      </c>
    </row>
    <row r="54" spans="1:15" x14ac:dyDescent="0.2">
      <c r="A54" s="18" t="str">
        <f>'Consumo Médio - Clientes'!A51</f>
        <v>Bernardo Bousada Rodrigues (INATIVO)</v>
      </c>
      <c r="B54" s="18">
        <f>'Consumo Médio - Clientes'!B51</f>
        <v>7202855145</v>
      </c>
      <c r="C54" s="18">
        <f>'Consumo Médio - Clientes'!C51</f>
        <v>3003168714</v>
      </c>
      <c r="D54" s="37">
        <f>'Consumo Médio - Clientes'!AX51</f>
        <v>10027</v>
      </c>
      <c r="E54" s="38">
        <f t="shared" si="17"/>
        <v>5.3286127455869157E-4</v>
      </c>
      <c r="F54" s="37">
        <f t="shared" si="1"/>
        <v>5.343</v>
      </c>
      <c r="G54" s="82">
        <f>'Consumo Médio - Clientes'!AY51</f>
        <v>0</v>
      </c>
      <c r="H54" s="39">
        <v>1E-4</v>
      </c>
      <c r="I54" s="94">
        <v>0</v>
      </c>
      <c r="J54" s="94">
        <v>0</v>
      </c>
      <c r="K54" s="94">
        <v>0</v>
      </c>
      <c r="L54" s="94">
        <v>0</v>
      </c>
      <c r="M54" s="94">
        <v>0</v>
      </c>
      <c r="N54" s="94">
        <v>0</v>
      </c>
      <c r="O54" s="94">
        <v>0</v>
      </c>
    </row>
    <row r="55" spans="1:15" x14ac:dyDescent="0.2">
      <c r="A55" s="18" t="str">
        <f>'Consumo Médio - Clientes'!A52</f>
        <v>Diogo Pitol Cangussu</v>
      </c>
      <c r="B55" s="18">
        <f>'Consumo Médio - Clientes'!B52</f>
        <v>7008603422</v>
      </c>
      <c r="C55" s="18">
        <f>'Consumo Médio - Clientes'!C52</f>
        <v>3002421654</v>
      </c>
      <c r="D55" s="37">
        <f>'Consumo Médio - Clientes'!AX52</f>
        <v>1055</v>
      </c>
      <c r="E55" s="38">
        <f t="shared" si="17"/>
        <v>0.14218009478672985</v>
      </c>
      <c r="F55" s="37">
        <f t="shared" si="1"/>
        <v>150</v>
      </c>
      <c r="G55" s="82">
        <f>'Consumo Médio - Clientes'!AY52</f>
        <v>2096</v>
      </c>
      <c r="H55" s="39">
        <v>0</v>
      </c>
      <c r="I55" s="94">
        <v>0</v>
      </c>
      <c r="J55" s="94">
        <v>0</v>
      </c>
      <c r="K55" s="94">
        <v>0</v>
      </c>
      <c r="L55" s="94">
        <v>0</v>
      </c>
      <c r="M55" s="94">
        <v>0.05</v>
      </c>
      <c r="N55" s="94">
        <v>0.05</v>
      </c>
      <c r="O55" s="94">
        <v>0.05</v>
      </c>
    </row>
    <row r="56" spans="1:15" x14ac:dyDescent="0.2">
      <c r="A56" s="18" t="str">
        <f>'Consumo Médio - Clientes'!A53</f>
        <v>Yago Vidal Martins da Costa</v>
      </c>
      <c r="B56" s="18">
        <f>'Consumo Médio - Clientes'!B53</f>
        <v>7201100845</v>
      </c>
      <c r="C56" s="18">
        <f>'Consumo Médio - Clientes'!C53</f>
        <v>3007592986</v>
      </c>
      <c r="D56" s="37">
        <f>'Consumo Médio - Clientes'!AX53</f>
        <v>255</v>
      </c>
      <c r="E56" s="38">
        <f t="shared" si="17"/>
        <v>1.0476470588235294</v>
      </c>
      <c r="F56" s="37">
        <f t="shared" si="1"/>
        <v>267.14999999999998</v>
      </c>
      <c r="G56" s="82">
        <f>'Consumo Médio - Clientes'!AY53</f>
        <v>75</v>
      </c>
      <c r="H56" s="39">
        <v>5.0000000000000001E-3</v>
      </c>
      <c r="I56" s="94">
        <v>0</v>
      </c>
      <c r="J56" s="94">
        <v>0</v>
      </c>
      <c r="K56" s="94">
        <v>0</v>
      </c>
      <c r="L56" s="94">
        <v>0</v>
      </c>
      <c r="M56" s="94">
        <v>0</v>
      </c>
      <c r="N56" s="94">
        <v>0</v>
      </c>
      <c r="O56" s="94">
        <v>0</v>
      </c>
    </row>
    <row r="57" spans="1:15" x14ac:dyDescent="0.2">
      <c r="A57" s="18" t="str">
        <f>'Consumo Médio - Clientes'!A54</f>
        <v>Euripedes Duarte da Costa</v>
      </c>
      <c r="B57" s="18">
        <f>'Consumo Médio - Clientes'!B54</f>
        <v>7005407157</v>
      </c>
      <c r="C57" s="18">
        <f>'Consumo Médio - Clientes'!C54</f>
        <v>3002429190</v>
      </c>
      <c r="D57" s="37">
        <f>'Consumo Médio - Clientes'!AX54</f>
        <v>463</v>
      </c>
      <c r="E57" s="38">
        <f t="shared" ref="E57" si="18">F57/D57</f>
        <v>0.92319654427645792</v>
      </c>
      <c r="F57" s="37">
        <f t="shared" si="1"/>
        <v>427.44</v>
      </c>
      <c r="G57" s="82">
        <f>'Consumo Médio - Clientes'!AY54</f>
        <v>145</v>
      </c>
      <c r="H57" s="39">
        <v>8.0000000000000002E-3</v>
      </c>
      <c r="I57" s="94">
        <v>0</v>
      </c>
      <c r="J57" s="94">
        <v>0</v>
      </c>
      <c r="K57" s="94">
        <v>0</v>
      </c>
      <c r="L57" s="94">
        <v>0</v>
      </c>
      <c r="M57" s="94">
        <v>0</v>
      </c>
      <c r="N57" s="94">
        <v>0</v>
      </c>
      <c r="O57" s="94">
        <v>0</v>
      </c>
    </row>
    <row r="58" spans="1:15" x14ac:dyDescent="0.2">
      <c r="A58" s="18" t="str">
        <f>'Consumo Médio - Clientes'!A55</f>
        <v>Euripedes Duarte da Costa</v>
      </c>
      <c r="B58" s="18">
        <f>'Consumo Médio - Clientes'!B55</f>
        <v>7005407157</v>
      </c>
      <c r="C58" s="18">
        <f>'Consumo Médio - Clientes'!C55</f>
        <v>3004338248</v>
      </c>
      <c r="D58" s="37">
        <f>'Consumo Médio - Clientes'!AX55</f>
        <v>134</v>
      </c>
      <c r="E58" s="38">
        <f t="shared" ref="E58:E66" si="19">F58/D58</f>
        <v>1.1961940298507463</v>
      </c>
      <c r="F58" s="37">
        <f t="shared" si="1"/>
        <v>160.29</v>
      </c>
      <c r="G58" s="82">
        <f>'Consumo Médio - Clientes'!AY55</f>
        <v>178</v>
      </c>
      <c r="H58" s="39">
        <v>3.0000000000000001E-3</v>
      </c>
      <c r="I58" s="94">
        <v>0</v>
      </c>
      <c r="J58" s="94">
        <v>0</v>
      </c>
      <c r="K58" s="94">
        <v>0</v>
      </c>
      <c r="L58" s="94">
        <v>0</v>
      </c>
      <c r="M58" s="94">
        <v>0</v>
      </c>
      <c r="N58" s="94">
        <v>0</v>
      </c>
      <c r="O58" s="94">
        <v>0</v>
      </c>
    </row>
    <row r="59" spans="1:15" x14ac:dyDescent="0.2">
      <c r="A59" s="18" t="str">
        <f>'Consumo Médio - Clientes'!A56</f>
        <v>AD Soluções Educacionais LTDA</v>
      </c>
      <c r="B59" s="18">
        <f>'Consumo Médio - Clientes'!B56</f>
        <v>7202295461</v>
      </c>
      <c r="C59" s="18">
        <f>'Consumo Médio - Clientes'!C56</f>
        <v>3005563221</v>
      </c>
      <c r="D59" s="37">
        <f>'Consumo Médio - Clientes'!AX56</f>
        <v>2335</v>
      </c>
      <c r="E59" s="38">
        <f t="shared" si="19"/>
        <v>1.1441113490364025</v>
      </c>
      <c r="F59" s="37">
        <f t="shared" si="1"/>
        <v>2671.5</v>
      </c>
      <c r="G59" s="82">
        <f>'Consumo Médio - Clientes'!AY56</f>
        <v>0</v>
      </c>
      <c r="H59" s="39">
        <v>0.05</v>
      </c>
      <c r="I59" s="94">
        <v>0</v>
      </c>
      <c r="J59" s="94">
        <v>0</v>
      </c>
      <c r="K59" s="94">
        <v>0</v>
      </c>
      <c r="L59" s="94">
        <v>0</v>
      </c>
      <c r="M59" s="94">
        <v>0</v>
      </c>
      <c r="N59" s="94">
        <v>0</v>
      </c>
      <c r="O59" s="94">
        <v>0</v>
      </c>
    </row>
    <row r="60" spans="1:15" x14ac:dyDescent="0.2">
      <c r="A60" s="18" t="str">
        <f>'Consumo Médio - Clientes'!A57</f>
        <v>Fernanda Gil de Oliveira Andrade</v>
      </c>
      <c r="B60" s="18">
        <f>'Consumo Médio - Clientes'!B57</f>
        <v>7003275088</v>
      </c>
      <c r="C60" s="18">
        <f>'Consumo Médio - Clientes'!C57</f>
        <v>3014052549</v>
      </c>
      <c r="D60" s="37">
        <f>'Consumo Médio - Clientes'!AX57</f>
        <v>690</v>
      </c>
      <c r="E60" s="38">
        <f t="shared" si="19"/>
        <v>0.92921739130434777</v>
      </c>
      <c r="F60" s="37">
        <f t="shared" si="1"/>
        <v>641.16</v>
      </c>
      <c r="G60" s="82">
        <f>'Consumo Médio - Clientes'!AY57</f>
        <v>23</v>
      </c>
      <c r="H60" s="39">
        <v>1.2E-2</v>
      </c>
      <c r="I60" s="94">
        <v>0</v>
      </c>
      <c r="J60" s="94">
        <v>0</v>
      </c>
      <c r="K60" s="94">
        <v>0</v>
      </c>
      <c r="L60" s="94">
        <v>0</v>
      </c>
      <c r="M60" s="94">
        <v>0</v>
      </c>
      <c r="N60" s="94">
        <v>0</v>
      </c>
      <c r="O60" s="94">
        <v>0</v>
      </c>
    </row>
    <row r="61" spans="1:15" x14ac:dyDescent="0.2">
      <c r="A61" s="18" t="str">
        <f>'Consumo Médio - Clientes'!A58</f>
        <v>Jesimiel de Oliveira Neves</v>
      </c>
      <c r="B61" s="18">
        <f>'Consumo Médio - Clientes'!B58</f>
        <v>7010040729</v>
      </c>
      <c r="C61" s="18">
        <f>'Consumo Médio - Clientes'!C58</f>
        <v>3010470206</v>
      </c>
      <c r="D61" s="37">
        <f>'Consumo Médio - Clientes'!AX58</f>
        <v>222</v>
      </c>
      <c r="E61" s="38">
        <f t="shared" si="19"/>
        <v>1.0830405405405403</v>
      </c>
      <c r="F61" s="37">
        <f t="shared" si="1"/>
        <v>240.43499999999997</v>
      </c>
      <c r="G61" s="125">
        <f>'Consumo Médio - Clientes'!AY58</f>
        <v>87</v>
      </c>
      <c r="H61" s="39">
        <v>4.4999999999999997E-3</v>
      </c>
      <c r="I61" s="94">
        <v>0</v>
      </c>
      <c r="J61" s="94">
        <v>0</v>
      </c>
      <c r="K61" s="94">
        <v>0</v>
      </c>
      <c r="L61" s="94">
        <v>0</v>
      </c>
      <c r="M61" s="94">
        <v>0</v>
      </c>
      <c r="N61" s="94">
        <v>0</v>
      </c>
      <c r="O61" s="94">
        <v>0</v>
      </c>
    </row>
    <row r="62" spans="1:15" x14ac:dyDescent="0.2">
      <c r="A62" s="18" t="str">
        <f>'Consumo Médio - Clientes'!A59</f>
        <v>Alexandre Rodrigues Sirimarco</v>
      </c>
      <c r="B62" s="18">
        <f>'Consumo Médio - Clientes'!B59</f>
        <v>0</v>
      </c>
      <c r="C62" s="18">
        <f>'Consumo Médio - Clientes'!C59</f>
        <v>3001346174</v>
      </c>
      <c r="D62" s="37">
        <f>'Consumo Médio - Clientes'!AX59</f>
        <v>298</v>
      </c>
      <c r="E62" s="38">
        <f t="shared" si="19"/>
        <v>1.0757718120805368</v>
      </c>
      <c r="F62" s="37">
        <f t="shared" si="1"/>
        <v>320.58</v>
      </c>
      <c r="G62" s="125">
        <f>'Consumo Médio - Clientes'!AY59</f>
        <v>159</v>
      </c>
      <c r="H62" s="39">
        <v>6.0000000000000001E-3</v>
      </c>
      <c r="I62" s="94">
        <v>0</v>
      </c>
      <c r="J62" s="94">
        <v>0</v>
      </c>
      <c r="K62" s="94">
        <v>0</v>
      </c>
      <c r="L62" s="94">
        <v>0</v>
      </c>
      <c r="M62" s="94">
        <v>0</v>
      </c>
      <c r="N62" s="94">
        <v>0</v>
      </c>
      <c r="O62" s="94">
        <v>0</v>
      </c>
    </row>
    <row r="63" spans="1:15" x14ac:dyDescent="0.2">
      <c r="A63" s="18" t="str">
        <f>'Consumo Médio - Clientes'!A60</f>
        <v>Off Limits Ind Componentes Automotivos</v>
      </c>
      <c r="B63" s="18">
        <f>'Consumo Médio - Clientes'!B60</f>
        <v>7005542671</v>
      </c>
      <c r="C63" s="18">
        <f>'Consumo Médio - Clientes'!C60</f>
        <v>3003413089</v>
      </c>
      <c r="D63" s="37">
        <f>'Consumo Médio - Clientes'!AX60</f>
        <v>4533</v>
      </c>
      <c r="E63" s="38">
        <f t="shared" si="19"/>
        <v>0.20723582616368849</v>
      </c>
      <c r="F63" s="37">
        <f t="shared" si="1"/>
        <v>939.4</v>
      </c>
      <c r="G63" s="125">
        <f>'Consumo Médio - Clientes'!AY60</f>
        <v>11041</v>
      </c>
      <c r="H63" s="39">
        <v>0</v>
      </c>
      <c r="I63" s="94">
        <v>2E-3</v>
      </c>
      <c r="J63" s="94">
        <v>0</v>
      </c>
      <c r="K63" s="94">
        <v>0</v>
      </c>
      <c r="L63" s="94">
        <v>0</v>
      </c>
      <c r="M63" s="94">
        <v>0</v>
      </c>
      <c r="N63" s="94">
        <v>0</v>
      </c>
      <c r="O63" s="94">
        <v>0</v>
      </c>
    </row>
    <row r="64" spans="1:15" x14ac:dyDescent="0.2">
      <c r="A64" s="18" t="str">
        <f>'Consumo Médio - Clientes'!A61</f>
        <v>AC Baruk Esfiharia Ltda</v>
      </c>
      <c r="B64" s="18">
        <f>'Consumo Médio - Clientes'!B61</f>
        <v>7008805822</v>
      </c>
      <c r="C64" s="18">
        <f>'Consumo Médio - Clientes'!C61</f>
        <v>3004493730</v>
      </c>
      <c r="D64" s="37">
        <f>'Consumo Médio - Clientes'!AX61</f>
        <v>662</v>
      </c>
      <c r="E64" s="38">
        <f t="shared" si="19"/>
        <v>8.0709969788519634E-3</v>
      </c>
      <c r="F64" s="37">
        <f t="shared" si="1"/>
        <v>5.343</v>
      </c>
      <c r="G64" s="125">
        <f>'Consumo Médio - Clientes'!AY61</f>
        <v>114</v>
      </c>
      <c r="H64" s="39">
        <v>1E-4</v>
      </c>
      <c r="I64" s="94">
        <v>0</v>
      </c>
      <c r="J64" s="94">
        <v>0</v>
      </c>
      <c r="K64" s="94">
        <v>0</v>
      </c>
      <c r="L64" s="94">
        <v>0</v>
      </c>
      <c r="M64" s="94">
        <v>0</v>
      </c>
      <c r="N64" s="94">
        <v>0</v>
      </c>
      <c r="O64" s="94">
        <v>0</v>
      </c>
    </row>
    <row r="65" spans="1:15" x14ac:dyDescent="0.2">
      <c r="A65" s="18" t="str">
        <f>'Consumo Médio - Clientes'!A62</f>
        <v>Sonia Maria Favaro Lopes</v>
      </c>
      <c r="B65" s="18">
        <f>'Consumo Médio - Clientes'!B62</f>
        <v>7009356799</v>
      </c>
      <c r="C65" s="18">
        <f>'Consumo Médio - Clientes'!C62</f>
        <v>3005316449</v>
      </c>
      <c r="D65" s="37">
        <f>'Consumo Médio - Clientes'!AX62</f>
        <v>290</v>
      </c>
      <c r="E65" s="38">
        <f t="shared" si="19"/>
        <v>1.105448275862069</v>
      </c>
      <c r="F65" s="37">
        <f t="shared" si="1"/>
        <v>320.58</v>
      </c>
      <c r="G65" s="125">
        <f>'Consumo Médio - Clientes'!AY62</f>
        <v>192</v>
      </c>
      <c r="H65" s="39">
        <v>6.0000000000000001E-3</v>
      </c>
      <c r="I65" s="94">
        <v>0</v>
      </c>
      <c r="J65" s="94">
        <v>0</v>
      </c>
      <c r="K65" s="94">
        <v>0</v>
      </c>
      <c r="L65" s="94">
        <v>0</v>
      </c>
      <c r="M65" s="94">
        <v>0</v>
      </c>
      <c r="N65" s="94">
        <v>0</v>
      </c>
      <c r="O65" s="94">
        <v>0</v>
      </c>
    </row>
    <row r="66" spans="1:15" x14ac:dyDescent="0.2">
      <c r="A66" s="18" t="str">
        <f>'Consumo Médio - Clientes'!A63</f>
        <v>Ulisse Eduardo Barros</v>
      </c>
      <c r="B66" s="18">
        <f>'Consumo Médio - Clientes'!B63</f>
        <v>7003542687</v>
      </c>
      <c r="C66" s="18">
        <f>'Consumo Médio - Clientes'!C63</f>
        <v>3003930453</v>
      </c>
      <c r="D66" s="37">
        <f>'Consumo Médio - Clientes'!AX63</f>
        <v>520</v>
      </c>
      <c r="E66" s="38">
        <f t="shared" si="19"/>
        <v>1.0274999999999999</v>
      </c>
      <c r="F66" s="37">
        <f t="shared" si="1"/>
        <v>534.29999999999995</v>
      </c>
      <c r="G66" s="125">
        <f>'Consumo Médio - Clientes'!AY63</f>
        <v>0</v>
      </c>
      <c r="H66" s="39">
        <v>0.01</v>
      </c>
      <c r="I66" s="94">
        <v>0</v>
      </c>
      <c r="J66" s="94">
        <v>0</v>
      </c>
      <c r="K66" s="94">
        <v>0</v>
      </c>
      <c r="L66" s="94">
        <v>0</v>
      </c>
      <c r="M66" s="94">
        <v>0</v>
      </c>
      <c r="N66" s="94">
        <v>0</v>
      </c>
      <c r="O66" s="94">
        <v>0</v>
      </c>
    </row>
    <row r="67" spans="1:15" x14ac:dyDescent="0.2">
      <c r="A67" s="18" t="str">
        <f>'Consumo Médio - Clientes'!A64</f>
        <v>Ivan Madeiras Ltda</v>
      </c>
      <c r="B67" s="18">
        <f>'Consumo Médio - Clientes'!B64</f>
        <v>7005303734</v>
      </c>
      <c r="C67" s="18">
        <f>'Consumo Médio - Clientes'!C64</f>
        <v>3013351386</v>
      </c>
      <c r="D67" s="37">
        <f>'Consumo Médio - Clientes'!AX64</f>
        <v>3774</v>
      </c>
      <c r="E67" s="38">
        <f t="shared" ref="E67:E79" si="20">F67/D67</f>
        <v>0.79491255961844198</v>
      </c>
      <c r="F67" s="37">
        <f t="shared" si="1"/>
        <v>3000</v>
      </c>
      <c r="G67" s="125">
        <f>'Consumo Médio - Clientes'!AY64</f>
        <v>3279</v>
      </c>
      <c r="H67" s="39">
        <v>0</v>
      </c>
      <c r="I67" s="94">
        <v>0</v>
      </c>
      <c r="J67" s="94">
        <v>0</v>
      </c>
      <c r="K67" s="94">
        <v>0.25</v>
      </c>
      <c r="L67" s="94">
        <v>0</v>
      </c>
      <c r="M67" s="94">
        <v>0</v>
      </c>
      <c r="N67" s="94">
        <v>0</v>
      </c>
      <c r="O67" s="94">
        <v>0</v>
      </c>
    </row>
    <row r="68" spans="1:15" x14ac:dyDescent="0.2">
      <c r="A68" s="18" t="str">
        <f>'Consumo Médio - Clientes'!A65</f>
        <v>Waldermar Pereira Costa</v>
      </c>
      <c r="B68" s="18">
        <f>'Consumo Médio - Clientes'!B65</f>
        <v>7003238012</v>
      </c>
      <c r="C68" s="18">
        <f>'Consumo Médio - Clientes'!C65</f>
        <v>3005520597</v>
      </c>
      <c r="D68" s="37">
        <f>'Consumo Médio - Clientes'!AX65</f>
        <v>294</v>
      </c>
      <c r="E68" s="38">
        <f t="shared" si="20"/>
        <v>0.61224489795918369</v>
      </c>
      <c r="F68" s="37">
        <f t="shared" ref="F68:F126" si="21">SUM(H68*$H$2,I68*$I$2,J68*$J$2,$K$2*K68,$L$2*L68,M68*$M$2,N68*$N$2,O68*$O$2)</f>
        <v>180</v>
      </c>
      <c r="G68" s="125">
        <f>'Consumo Médio - Clientes'!AY65</f>
        <v>384</v>
      </c>
      <c r="H68" s="39">
        <v>0</v>
      </c>
      <c r="I68" s="94">
        <v>0</v>
      </c>
      <c r="J68" s="94">
        <v>0</v>
      </c>
      <c r="K68" s="94">
        <v>1.4999999999999999E-2</v>
      </c>
      <c r="L68" s="94">
        <v>0</v>
      </c>
      <c r="M68" s="94">
        <v>0</v>
      </c>
      <c r="N68" s="94">
        <v>0</v>
      </c>
      <c r="O68" s="94">
        <v>0</v>
      </c>
    </row>
    <row r="69" spans="1:15" x14ac:dyDescent="0.2">
      <c r="A69" s="18" t="str">
        <f>'Consumo Médio - Clientes'!A66</f>
        <v>Rita Eugênia Arthuso Melo Pacheco</v>
      </c>
      <c r="B69" s="18">
        <f>'Consumo Médio - Clientes'!B66</f>
        <v>7002403983</v>
      </c>
      <c r="C69" s="18">
        <f>'Consumo Médio - Clientes'!C66</f>
        <v>3003167054</v>
      </c>
      <c r="D69" s="37">
        <f>'Consumo Médio - Clientes'!AX66</f>
        <v>194</v>
      </c>
      <c r="E69" s="38">
        <f t="shared" si="20"/>
        <v>1.2371134020618557</v>
      </c>
      <c r="F69" s="37">
        <f t="shared" si="21"/>
        <v>240</v>
      </c>
      <c r="G69" s="125">
        <f>'Consumo Médio - Clientes'!AY66</f>
        <v>322</v>
      </c>
      <c r="H69" s="39">
        <v>0</v>
      </c>
      <c r="I69" s="94">
        <v>0</v>
      </c>
      <c r="J69" s="94">
        <v>0</v>
      </c>
      <c r="K69" s="94">
        <v>0.02</v>
      </c>
      <c r="L69" s="94">
        <v>0</v>
      </c>
      <c r="M69" s="94">
        <v>0</v>
      </c>
      <c r="N69" s="94">
        <v>0</v>
      </c>
      <c r="O69" s="94">
        <v>0</v>
      </c>
    </row>
    <row r="70" spans="1:15" x14ac:dyDescent="0.2">
      <c r="A70" s="18" t="str">
        <f>'Consumo Médio - Clientes'!A67</f>
        <v>Ruth Maria Arthuso Melo</v>
      </c>
      <c r="B70" s="18">
        <f>'Consumo Médio - Clientes'!B67</f>
        <v>7200666377</v>
      </c>
      <c r="C70" s="18">
        <f>'Consumo Médio - Clientes'!C67</f>
        <v>3011186347</v>
      </c>
      <c r="D70" s="37">
        <f>'Consumo Médio - Clientes'!AX67</f>
        <v>253</v>
      </c>
      <c r="E70" s="38">
        <f t="shared" si="20"/>
        <v>1.3280632411067195</v>
      </c>
      <c r="F70" s="37">
        <f t="shared" si="21"/>
        <v>336</v>
      </c>
      <c r="G70" s="125">
        <f>'Consumo Médio - Clientes'!AY67</f>
        <v>158</v>
      </c>
      <c r="H70" s="39">
        <v>0</v>
      </c>
      <c r="I70" s="94">
        <v>0</v>
      </c>
      <c r="J70" s="94">
        <v>0</v>
      </c>
      <c r="K70" s="94">
        <v>2.8000000000000001E-2</v>
      </c>
      <c r="L70" s="94">
        <v>0</v>
      </c>
      <c r="M70" s="94">
        <v>0</v>
      </c>
      <c r="N70" s="94">
        <v>0</v>
      </c>
      <c r="O70" s="94">
        <v>0</v>
      </c>
    </row>
    <row r="71" spans="1:15" x14ac:dyDescent="0.2">
      <c r="A71" s="18" t="str">
        <f>'Consumo Médio - Clientes'!A68</f>
        <v>Reginaldo Guedes</v>
      </c>
      <c r="B71" s="18">
        <f>'Consumo Médio - Clientes'!B68</f>
        <v>7005509346</v>
      </c>
      <c r="C71" s="18">
        <f>'Consumo Médio - Clientes'!C68</f>
        <v>3006683003</v>
      </c>
      <c r="D71" s="37">
        <f>'Consumo Médio - Clientes'!AX68</f>
        <v>172</v>
      </c>
      <c r="E71" s="38">
        <f t="shared" si="20"/>
        <v>6.9767441860465115E-2</v>
      </c>
      <c r="F71" s="37">
        <f t="shared" si="21"/>
        <v>12</v>
      </c>
      <c r="G71" s="125">
        <f>'Consumo Médio - Clientes'!AY68</f>
        <v>717</v>
      </c>
      <c r="H71" s="39">
        <v>0</v>
      </c>
      <c r="I71" s="94">
        <v>0</v>
      </c>
      <c r="J71" s="94">
        <v>0</v>
      </c>
      <c r="K71" s="94">
        <v>1E-3</v>
      </c>
      <c r="L71" s="94">
        <v>0</v>
      </c>
      <c r="M71" s="94">
        <v>0</v>
      </c>
      <c r="N71" s="94">
        <v>0</v>
      </c>
      <c r="O71" s="94">
        <v>0</v>
      </c>
    </row>
    <row r="72" spans="1:15" x14ac:dyDescent="0.2">
      <c r="A72" s="18" t="str">
        <f>'Consumo Médio - Clientes'!A69</f>
        <v>Academia Planeta Corpo</v>
      </c>
      <c r="B72" s="18">
        <f>'Consumo Médio - Clientes'!B69</f>
        <v>7200634170</v>
      </c>
      <c r="C72" s="18">
        <f>'Consumo Médio - Clientes'!C69</f>
        <v>3014589151</v>
      </c>
      <c r="D72" s="37">
        <f>'Consumo Médio - Clientes'!AX69</f>
        <v>17627</v>
      </c>
      <c r="E72" s="38">
        <f t="shared" si="20"/>
        <v>0.9992483122482555</v>
      </c>
      <c r="F72" s="37">
        <f t="shared" si="21"/>
        <v>17613.75</v>
      </c>
      <c r="G72" s="125">
        <f>'Consumo Médio - Clientes'!AY69</f>
        <v>2675</v>
      </c>
      <c r="H72" s="39">
        <v>0</v>
      </c>
      <c r="I72" s="94">
        <v>3.7499999999999999E-2</v>
      </c>
      <c r="J72" s="94">
        <v>0</v>
      </c>
      <c r="K72" s="94">
        <v>0</v>
      </c>
      <c r="L72" s="94">
        <v>0</v>
      </c>
      <c r="M72" s="94">
        <v>0</v>
      </c>
      <c r="N72" s="94">
        <v>0</v>
      </c>
      <c r="O72" s="94">
        <v>0</v>
      </c>
    </row>
    <row r="73" spans="1:15" x14ac:dyDescent="0.2">
      <c r="A73" s="18" t="str">
        <f>'Consumo Médio - Clientes'!A70</f>
        <v>Sidney (Aplik) - Casa</v>
      </c>
      <c r="B73" s="18">
        <f>'Consumo Médio - Clientes'!B70</f>
        <v>7004577898</v>
      </c>
      <c r="C73" s="18">
        <f>'Consumo Médio - Clientes'!C70</f>
        <v>3001450202</v>
      </c>
      <c r="D73" s="37">
        <f>'Consumo Médio - Clientes'!AX70</f>
        <v>420</v>
      </c>
      <c r="E73" s="38">
        <f t="shared" si="20"/>
        <v>0.7142857142857143</v>
      </c>
      <c r="F73" s="37">
        <f t="shared" si="21"/>
        <v>300</v>
      </c>
      <c r="G73" s="125">
        <f>'Consumo Médio - Clientes'!AY70</f>
        <v>771</v>
      </c>
      <c r="H73" s="39">
        <v>0</v>
      </c>
      <c r="I73" s="94">
        <v>0</v>
      </c>
      <c r="J73" s="94">
        <v>0</v>
      </c>
      <c r="K73" s="94">
        <v>2.5000000000000001E-2</v>
      </c>
      <c r="L73" s="94">
        <v>0</v>
      </c>
      <c r="M73" s="94">
        <v>0</v>
      </c>
      <c r="N73" s="94">
        <v>0</v>
      </c>
      <c r="O73" s="94">
        <v>0</v>
      </c>
    </row>
    <row r="74" spans="1:15" ht="13.5" customHeight="1" x14ac:dyDescent="0.2">
      <c r="A74" s="18" t="str">
        <f>'Consumo Médio - Clientes'!A71</f>
        <v>Sidney (Aplik) - Rocinha</v>
      </c>
      <c r="B74" s="18">
        <f>'Consumo Médio - Clientes'!B71</f>
        <v>7003340106</v>
      </c>
      <c r="C74" s="18">
        <f>'Consumo Médio - Clientes'!C71</f>
        <v>3004286709</v>
      </c>
      <c r="D74" s="37">
        <f>'Consumo Médio - Clientes'!AX71</f>
        <v>399</v>
      </c>
      <c r="E74" s="38">
        <f t="shared" si="20"/>
        <v>0.75187969924812026</v>
      </c>
      <c r="F74" s="37">
        <f t="shared" si="21"/>
        <v>300</v>
      </c>
      <c r="G74" s="125">
        <f>'Consumo Médio - Clientes'!AY71</f>
        <v>583</v>
      </c>
      <c r="H74" s="39">
        <v>0</v>
      </c>
      <c r="I74" s="94">
        <v>0</v>
      </c>
      <c r="J74" s="94">
        <v>0</v>
      </c>
      <c r="K74" s="94">
        <v>2.5000000000000001E-2</v>
      </c>
      <c r="L74" s="94">
        <v>0</v>
      </c>
      <c r="M74" s="94">
        <v>0</v>
      </c>
      <c r="N74" s="94">
        <v>0</v>
      </c>
      <c r="O74" s="94">
        <v>0</v>
      </c>
    </row>
    <row r="75" spans="1:15" ht="13.5" customHeight="1" x14ac:dyDescent="0.2">
      <c r="A75" s="18" t="str">
        <f>'Consumo Médio - Clientes'!A72</f>
        <v>Sidney (Aplik) - Imobiliária</v>
      </c>
      <c r="B75" s="18">
        <f>'Consumo Médio - Clientes'!B72</f>
        <v>7005236808</v>
      </c>
      <c r="C75" s="18">
        <f>'Consumo Médio - Clientes'!C72</f>
        <v>3007666234</v>
      </c>
      <c r="D75" s="37">
        <f>'Consumo Médio - Clientes'!AX72</f>
        <v>1234</v>
      </c>
      <c r="E75" s="38">
        <f t="shared" si="20"/>
        <v>0.68071312803889794</v>
      </c>
      <c r="F75" s="37">
        <f t="shared" si="21"/>
        <v>840.00000000000011</v>
      </c>
      <c r="G75" s="125">
        <f>'Consumo Médio - Clientes'!AY72</f>
        <v>0</v>
      </c>
      <c r="H75" s="39">
        <v>0</v>
      </c>
      <c r="I75" s="94">
        <v>0</v>
      </c>
      <c r="J75" s="94">
        <v>0</v>
      </c>
      <c r="K75" s="94">
        <v>7.0000000000000007E-2</v>
      </c>
      <c r="L75" s="94">
        <v>0</v>
      </c>
      <c r="M75" s="94">
        <v>0</v>
      </c>
      <c r="N75" s="94">
        <v>0</v>
      </c>
      <c r="O75" s="94">
        <v>0</v>
      </c>
    </row>
    <row r="76" spans="1:15" ht="13.5" customHeight="1" x14ac:dyDescent="0.2">
      <c r="A76" s="18" t="str">
        <f>'Consumo Médio - Clientes'!A73</f>
        <v>Marcio Gomes Pacheco</v>
      </c>
      <c r="B76" s="18">
        <f>'Consumo Médio - Clientes'!B73</f>
        <v>0</v>
      </c>
      <c r="C76" s="18">
        <f>'Consumo Médio - Clientes'!C73</f>
        <v>3000097252</v>
      </c>
      <c r="D76" s="37">
        <f>'Consumo Médio - Clientes'!AX73</f>
        <v>249</v>
      </c>
      <c r="E76" s="38">
        <f t="shared" si="20"/>
        <v>0.81698795180722894</v>
      </c>
      <c r="F76" s="37">
        <f t="shared" si="21"/>
        <v>203.43</v>
      </c>
      <c r="G76" s="125">
        <f>'Consumo Médio - Clientes'!AY73</f>
        <v>332</v>
      </c>
      <c r="H76" s="39">
        <v>1E-3</v>
      </c>
      <c r="I76" s="94">
        <v>0</v>
      </c>
      <c r="J76" s="94">
        <v>0</v>
      </c>
      <c r="K76" s="94">
        <v>0</v>
      </c>
      <c r="L76" s="94">
        <v>0</v>
      </c>
      <c r="M76" s="94">
        <v>0.05</v>
      </c>
      <c r="N76" s="94">
        <v>0.05</v>
      </c>
      <c r="O76" s="94">
        <v>0.05</v>
      </c>
    </row>
    <row r="77" spans="1:15" ht="13.5" customHeight="1" x14ac:dyDescent="0.2">
      <c r="A77" s="18" t="str">
        <f>'Consumo Médio - Clientes'!A74</f>
        <v>Luís Carlos Pereira</v>
      </c>
      <c r="B77" s="18">
        <f>'Consumo Médio - Clientes'!B74</f>
        <v>0</v>
      </c>
      <c r="C77" s="18">
        <f>'Consumo Médio - Clientes'!C74</f>
        <v>3000099014</v>
      </c>
      <c r="D77" s="37">
        <f>'Consumo Médio - Clientes'!AX74</f>
        <v>244</v>
      </c>
      <c r="E77" s="38">
        <f t="shared" si="20"/>
        <v>0.83372950819672131</v>
      </c>
      <c r="F77" s="37">
        <f t="shared" si="21"/>
        <v>203.43</v>
      </c>
      <c r="G77" s="125">
        <f>'Consumo Médio - Clientes'!AY74</f>
        <v>567</v>
      </c>
      <c r="H77" s="39">
        <v>1E-3</v>
      </c>
      <c r="I77" s="94">
        <v>0</v>
      </c>
      <c r="J77" s="94">
        <v>0</v>
      </c>
      <c r="K77" s="94">
        <v>0</v>
      </c>
      <c r="L77" s="94">
        <v>0</v>
      </c>
      <c r="M77" s="94">
        <v>0.05</v>
      </c>
      <c r="N77" s="94">
        <v>0.05</v>
      </c>
      <c r="O77" s="94">
        <v>0.05</v>
      </c>
    </row>
    <row r="78" spans="1:15" ht="13.5" customHeight="1" x14ac:dyDescent="0.2">
      <c r="A78" s="18" t="str">
        <f>'Consumo Médio - Clientes'!A75</f>
        <v>Alexandre Rodrigues Sirimarco</v>
      </c>
      <c r="B78" s="18">
        <f>'Consumo Médio - Clientes'!B75</f>
        <v>0</v>
      </c>
      <c r="C78" s="18">
        <f>'Consumo Médio - Clientes'!C75</f>
        <v>3010964524</v>
      </c>
      <c r="D78" s="37">
        <f>'Consumo Médio - Clientes'!AX75</f>
        <v>65</v>
      </c>
      <c r="E78" s="38">
        <f t="shared" si="20"/>
        <v>8.2199999999999995E-2</v>
      </c>
      <c r="F78" s="37">
        <f t="shared" si="21"/>
        <v>5.343</v>
      </c>
      <c r="G78" s="125">
        <f>'Consumo Médio - Clientes'!AY75</f>
        <v>200</v>
      </c>
      <c r="H78" s="95">
        <v>1E-4</v>
      </c>
      <c r="I78" s="122">
        <v>0</v>
      </c>
      <c r="J78" s="122">
        <v>0</v>
      </c>
      <c r="K78" s="122">
        <v>0</v>
      </c>
      <c r="L78" s="94">
        <v>0</v>
      </c>
      <c r="M78" s="122">
        <v>0</v>
      </c>
      <c r="N78" s="122">
        <v>0</v>
      </c>
      <c r="O78" s="122">
        <v>0</v>
      </c>
    </row>
    <row r="79" spans="1:15" ht="13.5" customHeight="1" x14ac:dyDescent="0.2">
      <c r="A79" s="18" t="str">
        <f>'Consumo Médio - Clientes'!A76</f>
        <v>Alexandre Rodrigues Sirimarco</v>
      </c>
      <c r="B79" s="18">
        <f>'Consumo Médio - Clientes'!B76</f>
        <v>0</v>
      </c>
      <c r="C79" s="18">
        <f>'Consumo Médio - Clientes'!C76</f>
        <v>3002504727</v>
      </c>
      <c r="D79" s="37">
        <f>'Consumo Médio - Clientes'!AX76</f>
        <v>128</v>
      </c>
      <c r="E79" s="38">
        <f t="shared" si="20"/>
        <v>0.83484375</v>
      </c>
      <c r="F79" s="37">
        <f t="shared" si="21"/>
        <v>106.86</v>
      </c>
      <c r="G79" s="125">
        <f>'Consumo Médio - Clientes'!AY76</f>
        <v>105</v>
      </c>
      <c r="H79" s="95">
        <v>2E-3</v>
      </c>
      <c r="I79" s="122">
        <v>0</v>
      </c>
      <c r="J79" s="122">
        <v>0</v>
      </c>
      <c r="K79" s="122">
        <v>0</v>
      </c>
      <c r="L79" s="94">
        <v>0</v>
      </c>
      <c r="M79" s="122">
        <v>0</v>
      </c>
      <c r="N79" s="122">
        <v>0</v>
      </c>
      <c r="O79" s="122">
        <v>0</v>
      </c>
    </row>
    <row r="80" spans="1:15" ht="13.5" customHeight="1" x14ac:dyDescent="0.2">
      <c r="A80" s="18" t="str">
        <f>'Consumo Médio - Clientes'!A77</f>
        <v>Alexandre Rodrigues Sirimarco</v>
      </c>
      <c r="B80" s="18">
        <f>'Consumo Médio - Clientes'!B77</f>
        <v>0</v>
      </c>
      <c r="C80" s="18">
        <f>'Consumo Médio - Clientes'!C77</f>
        <v>3005361089</v>
      </c>
      <c r="D80" s="37">
        <f>'Consumo Médio - Clientes'!AX77</f>
        <v>166</v>
      </c>
      <c r="E80" s="38">
        <f>F80/D80</f>
        <v>0.48280120481927707</v>
      </c>
      <c r="F80" s="37">
        <f t="shared" si="21"/>
        <v>80.144999999999996</v>
      </c>
      <c r="G80" s="125">
        <f>'Consumo Médio - Clientes'!AY77</f>
        <v>241</v>
      </c>
      <c r="H80" s="95">
        <v>1.5E-3</v>
      </c>
      <c r="I80" s="122">
        <v>0</v>
      </c>
      <c r="J80" s="122">
        <v>0</v>
      </c>
      <c r="K80" s="122">
        <v>0</v>
      </c>
      <c r="L80" s="94">
        <v>0</v>
      </c>
      <c r="M80" s="122">
        <v>0</v>
      </c>
      <c r="N80" s="122">
        <v>0</v>
      </c>
      <c r="O80" s="122">
        <v>0</v>
      </c>
    </row>
    <row r="81" spans="1:15" ht="13.5" customHeight="1" x14ac:dyDescent="0.2">
      <c r="A81" s="18" t="str">
        <f>'Consumo Médio - Clientes'!A78</f>
        <v>Andre Lanna de Lima e Silva</v>
      </c>
      <c r="B81" s="18">
        <f>'Consumo Médio - Clientes'!B78</f>
        <v>0</v>
      </c>
      <c r="C81" s="18">
        <f>'Consumo Médio - Clientes'!C78</f>
        <v>3012123920</v>
      </c>
      <c r="D81" s="37">
        <f>'Consumo Médio - Clientes'!AX78</f>
        <v>336</v>
      </c>
      <c r="E81" s="38">
        <f t="shared" ref="E81:E85" si="22">F81/D81</f>
        <v>0.79508928571428561</v>
      </c>
      <c r="F81" s="37">
        <f t="shared" si="21"/>
        <v>267.14999999999998</v>
      </c>
      <c r="G81" s="125">
        <f>'Consumo Médio - Clientes'!AY78</f>
        <v>610</v>
      </c>
      <c r="H81" s="95">
        <v>5.0000000000000001E-3</v>
      </c>
      <c r="I81" s="122">
        <v>0</v>
      </c>
      <c r="J81" s="122">
        <v>0</v>
      </c>
      <c r="K81" s="122">
        <v>0</v>
      </c>
      <c r="L81" s="94">
        <v>0</v>
      </c>
      <c r="M81" s="122">
        <v>0</v>
      </c>
      <c r="N81" s="122">
        <v>0</v>
      </c>
      <c r="O81" s="122">
        <v>0</v>
      </c>
    </row>
    <row r="82" spans="1:15" ht="13.5" customHeight="1" x14ac:dyDescent="0.2">
      <c r="A82" s="18" t="str">
        <f>'Consumo Médio - Clientes'!A79</f>
        <v>C. F. Pereira da Silva Serviços</v>
      </c>
      <c r="B82" s="18">
        <f>'Consumo Médio - Clientes'!B79</f>
        <v>0</v>
      </c>
      <c r="C82" s="18">
        <f>'Consumo Médio - Clientes'!C79</f>
        <v>3003701876</v>
      </c>
      <c r="D82" s="37">
        <f>'Consumo Médio - Clientes'!AX79</f>
        <v>1783</v>
      </c>
      <c r="E82" s="38">
        <f t="shared" si="22"/>
        <v>0.89899046550757145</v>
      </c>
      <c r="F82" s="37">
        <f t="shared" si="21"/>
        <v>1602.8999999999999</v>
      </c>
      <c r="G82" s="125">
        <f>'Consumo Médio - Clientes'!AY79</f>
        <v>0</v>
      </c>
      <c r="H82" s="95">
        <v>0.03</v>
      </c>
      <c r="I82" s="122">
        <v>0</v>
      </c>
      <c r="J82" s="122">
        <v>0</v>
      </c>
      <c r="K82" s="122">
        <v>0</v>
      </c>
      <c r="L82" s="94">
        <v>0</v>
      </c>
      <c r="M82" s="122">
        <v>0</v>
      </c>
      <c r="N82" s="122">
        <v>0</v>
      </c>
      <c r="O82" s="122">
        <v>0</v>
      </c>
    </row>
    <row r="83" spans="1:15" ht="13.5" customHeight="1" x14ac:dyDescent="0.2">
      <c r="A83" s="18" t="str">
        <f>'Consumo Médio - Clientes'!A80</f>
        <v>Alexander Fernandes Gonçalves</v>
      </c>
      <c r="B83" s="18">
        <f>'Consumo Médio - Clientes'!B80</f>
        <v>0</v>
      </c>
      <c r="C83" s="18">
        <f>'Consumo Médio - Clientes'!C80</f>
        <v>3014448834</v>
      </c>
      <c r="D83" s="37">
        <f>'Consumo Médio - Clientes'!AX80</f>
        <v>190</v>
      </c>
      <c r="E83" s="38">
        <f t="shared" si="22"/>
        <v>0.8436315789473684</v>
      </c>
      <c r="F83" s="37">
        <f t="shared" si="21"/>
        <v>160.29</v>
      </c>
      <c r="G83" s="125">
        <f>'Consumo Médio - Clientes'!AY80</f>
        <v>56</v>
      </c>
      <c r="H83" s="95">
        <v>3.0000000000000001E-3</v>
      </c>
      <c r="I83" s="122">
        <v>0</v>
      </c>
      <c r="J83" s="122">
        <v>0</v>
      </c>
      <c r="K83" s="122">
        <v>0</v>
      </c>
      <c r="L83" s="94">
        <v>0</v>
      </c>
      <c r="M83" s="122">
        <v>0</v>
      </c>
      <c r="N83" s="122">
        <v>0</v>
      </c>
      <c r="O83" s="122">
        <v>0</v>
      </c>
    </row>
    <row r="84" spans="1:15" ht="13.5" customHeight="1" x14ac:dyDescent="0.2">
      <c r="A84" s="18" t="str">
        <f>'Consumo Médio - Clientes'!A81</f>
        <v>Leonardo Jacques Gonçalves Calazans</v>
      </c>
      <c r="B84" s="18">
        <f>'Consumo Médio - Clientes'!B81</f>
        <v>0</v>
      </c>
      <c r="C84" s="18">
        <f>'Consumo Médio - Clientes'!C81</f>
        <v>3011850238</v>
      </c>
      <c r="D84" s="37">
        <f>'Consumo Médio - Clientes'!AX81</f>
        <v>189</v>
      </c>
      <c r="E84" s="38">
        <f t="shared" si="22"/>
        <v>0.84809523809523801</v>
      </c>
      <c r="F84" s="37">
        <f t="shared" si="21"/>
        <v>160.29</v>
      </c>
      <c r="G84" s="125">
        <f>'Consumo Médio - Clientes'!AY81</f>
        <v>280</v>
      </c>
      <c r="H84" s="95">
        <v>3.0000000000000001E-3</v>
      </c>
      <c r="I84" s="122">
        <v>0</v>
      </c>
      <c r="J84" s="122">
        <v>0</v>
      </c>
      <c r="K84" s="122">
        <v>0</v>
      </c>
      <c r="L84" s="94">
        <v>0</v>
      </c>
      <c r="M84" s="122">
        <v>0</v>
      </c>
      <c r="N84" s="122">
        <v>0</v>
      </c>
      <c r="O84" s="122">
        <v>0</v>
      </c>
    </row>
    <row r="85" spans="1:15" ht="13.5" customHeight="1" x14ac:dyDescent="0.2">
      <c r="A85" s="18" t="str">
        <f>'Consumo Médio - Clientes'!A82</f>
        <v>Condomínio Edifício Atlanta Residence</v>
      </c>
      <c r="B85" s="18">
        <f>'Consumo Médio - Clientes'!B82</f>
        <v>0</v>
      </c>
      <c r="C85" s="18">
        <f>'Consumo Médio - Clientes'!C82</f>
        <v>3010477511</v>
      </c>
      <c r="D85" s="37">
        <f>'Consumo Médio - Clientes'!AX82</f>
        <v>882</v>
      </c>
      <c r="E85" s="38">
        <f t="shared" si="22"/>
        <v>0.84809523809523812</v>
      </c>
      <c r="F85" s="37">
        <f t="shared" si="21"/>
        <v>748.02</v>
      </c>
      <c r="G85" s="125">
        <f>'Consumo Médio - Clientes'!AY82</f>
        <v>809</v>
      </c>
      <c r="H85" s="95">
        <v>1.4E-2</v>
      </c>
      <c r="I85" s="122">
        <v>0</v>
      </c>
      <c r="J85" s="122">
        <v>0</v>
      </c>
      <c r="K85" s="122">
        <v>0</v>
      </c>
      <c r="L85" s="94">
        <v>0</v>
      </c>
      <c r="M85" s="122">
        <v>0</v>
      </c>
      <c r="N85" s="122">
        <v>0</v>
      </c>
      <c r="O85" s="122">
        <v>0</v>
      </c>
    </row>
    <row r="86" spans="1:15" ht="13.5" customHeight="1" x14ac:dyDescent="0.2">
      <c r="A86" s="18" t="str">
        <f>'Consumo Médio - Clientes'!A83</f>
        <v>A. F. Sampaio</v>
      </c>
      <c r="B86" s="18">
        <f>'Consumo Médio - Clientes'!B83</f>
        <v>0</v>
      </c>
      <c r="C86" s="18">
        <f>'Consumo Médio - Clientes'!C83</f>
        <v>3011681338</v>
      </c>
      <c r="D86" s="37">
        <f>'Consumo Médio - Clientes'!AX83</f>
        <v>12387</v>
      </c>
      <c r="E86" s="38">
        <f t="shared" ref="E86:E90" si="23">F86/D86</f>
        <v>0.91005085977234201</v>
      </c>
      <c r="F86" s="37">
        <f t="shared" si="21"/>
        <v>11272.800000000001</v>
      </c>
      <c r="G86" s="125">
        <f>'Consumo Médio - Clientes'!AY83</f>
        <v>6780</v>
      </c>
      <c r="H86" s="95">
        <v>0</v>
      </c>
      <c r="I86" s="122">
        <v>2.4E-2</v>
      </c>
      <c r="J86" s="122">
        <v>0</v>
      </c>
      <c r="K86" s="122">
        <v>0</v>
      </c>
      <c r="L86" s="94">
        <v>0</v>
      </c>
      <c r="M86" s="122">
        <v>0</v>
      </c>
      <c r="N86" s="122">
        <v>0</v>
      </c>
      <c r="O86" s="122">
        <v>0</v>
      </c>
    </row>
    <row r="87" spans="1:15" ht="13.5" customHeight="1" x14ac:dyDescent="0.2">
      <c r="A87" s="18" t="str">
        <f>'Consumo Médio - Clientes'!A84</f>
        <v>A. F. Sampaio</v>
      </c>
      <c r="B87" s="18">
        <f>'Consumo Médio - Clientes'!B84</f>
        <v>0</v>
      </c>
      <c r="C87" s="18">
        <f>'Consumo Médio - Clientes'!C84</f>
        <v>3004244761</v>
      </c>
      <c r="D87" s="37">
        <f>'Consumo Médio - Clientes'!AX84</f>
        <v>1060</v>
      </c>
      <c r="E87" s="38">
        <f t="shared" si="23"/>
        <v>0.88622641509433964</v>
      </c>
      <c r="F87" s="37">
        <f t="shared" si="21"/>
        <v>939.4</v>
      </c>
      <c r="G87" s="125">
        <f>'Consumo Médio - Clientes'!AY84</f>
        <v>1348</v>
      </c>
      <c r="H87" s="95">
        <v>0</v>
      </c>
      <c r="I87" s="122">
        <v>2E-3</v>
      </c>
      <c r="J87" s="122">
        <v>0</v>
      </c>
      <c r="K87" s="122">
        <v>0</v>
      </c>
      <c r="L87" s="94">
        <v>0</v>
      </c>
      <c r="M87" s="122">
        <v>0</v>
      </c>
      <c r="N87" s="122">
        <v>0</v>
      </c>
      <c r="O87" s="122">
        <v>0</v>
      </c>
    </row>
    <row r="88" spans="1:15" ht="13.5" customHeight="1" x14ac:dyDescent="0.2">
      <c r="A88" s="18" t="str">
        <f>'Consumo Médio - Clientes'!A85</f>
        <v>Alex Ferreira Sampaio</v>
      </c>
      <c r="B88" s="18">
        <f>'Consumo Médio - Clientes'!B85</f>
        <v>0</v>
      </c>
      <c r="C88" s="18">
        <f>'Consumo Médio - Clientes'!C85</f>
        <v>3006732798</v>
      </c>
      <c r="D88" s="37">
        <f>'Consumo Médio - Clientes'!AX85</f>
        <v>1705</v>
      </c>
      <c r="E88" s="38">
        <f t="shared" si="23"/>
        <v>0.70381231671554256</v>
      </c>
      <c r="F88" s="37">
        <f t="shared" si="21"/>
        <v>1200</v>
      </c>
      <c r="G88" s="125">
        <f>'Consumo Médio - Clientes'!AY85</f>
        <v>753</v>
      </c>
      <c r="H88" s="95">
        <v>0</v>
      </c>
      <c r="I88" s="122">
        <v>0</v>
      </c>
      <c r="J88" s="122">
        <v>0</v>
      </c>
      <c r="K88" s="122">
        <v>0.1</v>
      </c>
      <c r="L88" s="94">
        <v>0</v>
      </c>
      <c r="M88" s="122">
        <v>0</v>
      </c>
      <c r="N88" s="122">
        <v>0</v>
      </c>
      <c r="O88" s="122">
        <v>0</v>
      </c>
    </row>
    <row r="89" spans="1:15" ht="13.5" customHeight="1" x14ac:dyDescent="0.2">
      <c r="A89" s="18" t="str">
        <f>'Consumo Médio - Clientes'!A86</f>
        <v>Fio D Ouro Tricot &amp; CIA Ltda</v>
      </c>
      <c r="B89" s="18">
        <f>'Consumo Médio - Clientes'!B86</f>
        <v>0</v>
      </c>
      <c r="C89" s="18">
        <f>'Consumo Médio - Clientes'!C86</f>
        <v>3013175523</v>
      </c>
      <c r="D89" s="37">
        <f>'Consumo Médio - Clientes'!AX86</f>
        <v>4005</v>
      </c>
      <c r="E89" s="38">
        <f t="shared" si="23"/>
        <v>1.3340823970037453E-3</v>
      </c>
      <c r="F89" s="37">
        <f t="shared" si="21"/>
        <v>5.343</v>
      </c>
      <c r="G89" s="125">
        <f>'Consumo Médio - Clientes'!AY86</f>
        <v>19960</v>
      </c>
      <c r="H89" s="95">
        <v>1E-4</v>
      </c>
      <c r="I89" s="122">
        <v>0</v>
      </c>
      <c r="J89" s="122">
        <v>0</v>
      </c>
      <c r="K89" s="122">
        <v>0</v>
      </c>
      <c r="L89" s="94">
        <v>0</v>
      </c>
      <c r="M89" s="122">
        <v>0</v>
      </c>
      <c r="N89" s="122">
        <v>0</v>
      </c>
      <c r="O89" s="122">
        <v>0</v>
      </c>
    </row>
    <row r="90" spans="1:15" ht="13.5" customHeight="1" x14ac:dyDescent="0.2">
      <c r="A90" s="18" t="str">
        <f>'Consumo Médio - Clientes'!A87</f>
        <v>Andrezza Lorrayne Souza Vaz</v>
      </c>
      <c r="B90" s="18">
        <f>'Consumo Médio - Clientes'!B87</f>
        <v>0</v>
      </c>
      <c r="C90" s="18">
        <f>'Consumo Médio - Clientes'!C87</f>
        <v>3000098875</v>
      </c>
      <c r="D90" s="37">
        <f>'Consumo Médio - Clientes'!AX87</f>
        <v>153</v>
      </c>
      <c r="E90" s="38">
        <f t="shared" si="23"/>
        <v>0.87303921568627441</v>
      </c>
      <c r="F90" s="37">
        <f t="shared" si="21"/>
        <v>133.57499999999999</v>
      </c>
      <c r="G90" s="125">
        <f>'Consumo Médio - Clientes'!AY87</f>
        <v>33</v>
      </c>
      <c r="H90" s="95">
        <v>2.5000000000000001E-3</v>
      </c>
      <c r="I90" s="122">
        <v>0</v>
      </c>
      <c r="J90" s="122">
        <v>0</v>
      </c>
      <c r="K90" s="122">
        <v>0</v>
      </c>
      <c r="L90" s="94">
        <v>0</v>
      </c>
      <c r="M90" s="122">
        <v>0</v>
      </c>
      <c r="N90" s="122">
        <v>0</v>
      </c>
      <c r="O90" s="122">
        <v>0</v>
      </c>
    </row>
    <row r="91" spans="1:15" ht="13.5" customHeight="1" x14ac:dyDescent="0.2">
      <c r="A91" s="18" t="str">
        <f>'Consumo Médio - Clientes'!A88</f>
        <v>Roberto Dias Monteiro</v>
      </c>
      <c r="B91" s="18">
        <f>'Consumo Médio - Clientes'!B88</f>
        <v>0</v>
      </c>
      <c r="C91" s="18">
        <f>'Consumo Médio - Clientes'!C88</f>
        <v>3007515476</v>
      </c>
      <c r="D91" s="37">
        <f>'Consumo Médio - Clientes'!AX88</f>
        <v>555</v>
      </c>
      <c r="E91" s="38">
        <f t="shared" ref="E91:E93" si="24">F91/D91</f>
        <v>0.96270270270270264</v>
      </c>
      <c r="F91" s="37">
        <f t="shared" si="21"/>
        <v>534.29999999999995</v>
      </c>
      <c r="G91" s="125">
        <f>'Consumo Médio - Clientes'!AY88</f>
        <v>0</v>
      </c>
      <c r="H91" s="95">
        <v>0.01</v>
      </c>
      <c r="I91" s="122">
        <v>0</v>
      </c>
      <c r="J91" s="122">
        <v>0</v>
      </c>
      <c r="K91" s="122">
        <v>0</v>
      </c>
      <c r="L91" s="94">
        <v>0</v>
      </c>
      <c r="M91" s="122">
        <v>0</v>
      </c>
      <c r="N91" s="122">
        <v>0</v>
      </c>
      <c r="O91" s="122">
        <v>0</v>
      </c>
    </row>
    <row r="92" spans="1:15" ht="13.5" customHeight="1" x14ac:dyDescent="0.2">
      <c r="A92" s="18" t="str">
        <f>'Consumo Médio - Clientes'!A89</f>
        <v>Ademar de Vasconcelos Pires</v>
      </c>
      <c r="B92" s="18">
        <f>'Consumo Médio - Clientes'!B89</f>
        <v>7009914031</v>
      </c>
      <c r="C92" s="18">
        <f>'Consumo Médio - Clientes'!C89</f>
        <v>3007698929</v>
      </c>
      <c r="D92" s="37">
        <f>'Consumo Médio - Clientes'!AX89</f>
        <v>158</v>
      </c>
      <c r="E92" s="38">
        <f t="shared" si="24"/>
        <v>1.0144936708860759</v>
      </c>
      <c r="F92" s="37">
        <f t="shared" si="21"/>
        <v>160.29</v>
      </c>
      <c r="G92" s="125">
        <f>'Consumo Médio - Clientes'!AY89</f>
        <v>260</v>
      </c>
      <c r="H92" s="95">
        <v>3.0000000000000001E-3</v>
      </c>
      <c r="I92" s="122">
        <v>0</v>
      </c>
      <c r="J92" s="122">
        <v>0</v>
      </c>
      <c r="K92" s="122">
        <v>0</v>
      </c>
      <c r="L92" s="94">
        <v>0</v>
      </c>
      <c r="M92" s="122">
        <v>0</v>
      </c>
      <c r="N92" s="122">
        <v>0</v>
      </c>
      <c r="O92" s="122">
        <v>0</v>
      </c>
    </row>
    <row r="93" spans="1:15" ht="13.5" customHeight="1" x14ac:dyDescent="0.2">
      <c r="A93" s="18" t="str">
        <f>'Consumo Médio - Clientes'!A90</f>
        <v>Comercial Pinho e Vasconcelos</v>
      </c>
      <c r="B93" s="18">
        <f>'Consumo Médio - Clientes'!B90</f>
        <v>7009992625</v>
      </c>
      <c r="C93" s="18">
        <f>'Consumo Médio - Clientes'!C90</f>
        <v>3007206715</v>
      </c>
      <c r="D93" s="37">
        <f>'Consumo Médio - Clientes'!AX90</f>
        <v>1437</v>
      </c>
      <c r="E93" s="38">
        <f t="shared" si="24"/>
        <v>0.37181628392484339</v>
      </c>
      <c r="F93" s="37">
        <f t="shared" si="21"/>
        <v>534.29999999999995</v>
      </c>
      <c r="G93" s="125">
        <f>'Consumo Médio - Clientes'!AY90</f>
        <v>4401</v>
      </c>
      <c r="H93" s="95">
        <v>0.01</v>
      </c>
      <c r="I93" s="122">
        <v>0</v>
      </c>
      <c r="J93" s="122">
        <v>0</v>
      </c>
      <c r="K93" s="122">
        <v>0</v>
      </c>
      <c r="L93" s="94">
        <v>0</v>
      </c>
      <c r="M93" s="122">
        <v>0</v>
      </c>
      <c r="N93" s="122">
        <v>0</v>
      </c>
      <c r="O93" s="122">
        <v>0</v>
      </c>
    </row>
    <row r="94" spans="1:15" ht="13.5" customHeight="1" x14ac:dyDescent="0.2">
      <c r="A94" s="18" t="str">
        <f>'Consumo Médio - Clientes'!A91</f>
        <v>Thamara Luciana Carvalho Duarte</v>
      </c>
      <c r="B94" s="18">
        <f>'Consumo Médio - Clientes'!B91</f>
        <v>0</v>
      </c>
      <c r="C94" s="18">
        <f>'Consumo Médio - Clientes'!C91</f>
        <v>3005379331</v>
      </c>
      <c r="D94" s="37">
        <f>'Consumo Médio - Clientes'!AX91</f>
        <v>242</v>
      </c>
      <c r="E94" s="38">
        <f t="shared" ref="E94:E96" si="25">F94/D94</f>
        <v>1.1039256198347107</v>
      </c>
      <c r="F94" s="37">
        <f t="shared" si="21"/>
        <v>267.14999999999998</v>
      </c>
      <c r="G94" s="125">
        <f>'Consumo Médio - Clientes'!AY91</f>
        <v>29</v>
      </c>
      <c r="H94" s="95">
        <v>5.0000000000000001E-3</v>
      </c>
      <c r="I94" s="122">
        <v>0</v>
      </c>
      <c r="J94" s="122">
        <v>0</v>
      </c>
      <c r="K94" s="122">
        <v>0</v>
      </c>
      <c r="L94" s="94">
        <v>0</v>
      </c>
      <c r="M94" s="122">
        <v>0</v>
      </c>
      <c r="N94" s="122">
        <v>0</v>
      </c>
      <c r="O94" s="122">
        <v>0</v>
      </c>
    </row>
    <row r="95" spans="1:15" ht="13.5" customHeight="1" x14ac:dyDescent="0.2">
      <c r="A95" s="18" t="str">
        <f>'Consumo Médio - Clientes'!A92</f>
        <v>Eliane Martins Moura</v>
      </c>
      <c r="B95" s="18">
        <f>'Consumo Médio - Clientes'!B92</f>
        <v>0</v>
      </c>
      <c r="C95" s="18">
        <f>'Consumo Médio - Clientes'!C92</f>
        <v>3000271296</v>
      </c>
      <c r="D95" s="37">
        <f>'Consumo Médio - Clientes'!AX92</f>
        <v>335</v>
      </c>
      <c r="E95" s="38">
        <f t="shared" si="25"/>
        <v>0.95695522388059695</v>
      </c>
      <c r="F95" s="37">
        <f t="shared" si="21"/>
        <v>320.58</v>
      </c>
      <c r="G95" s="125">
        <f>'Consumo Médio - Clientes'!AY92</f>
        <v>0</v>
      </c>
      <c r="H95" s="95">
        <v>6.0000000000000001E-3</v>
      </c>
      <c r="I95" s="122">
        <v>0</v>
      </c>
      <c r="J95" s="122">
        <v>0</v>
      </c>
      <c r="K95" s="122">
        <v>0</v>
      </c>
      <c r="L95" s="94">
        <v>0</v>
      </c>
      <c r="M95" s="122">
        <v>0</v>
      </c>
      <c r="N95" s="122">
        <v>0</v>
      </c>
      <c r="O95" s="122">
        <v>0</v>
      </c>
    </row>
    <row r="96" spans="1:15" ht="13.5" customHeight="1" x14ac:dyDescent="0.2">
      <c r="A96" s="18" t="str">
        <f>'Consumo Médio - Clientes'!A93</f>
        <v>Ronaldo Lott Pires</v>
      </c>
      <c r="B96" s="18">
        <f>'Consumo Médio - Clientes'!B93</f>
        <v>0</v>
      </c>
      <c r="C96" s="18">
        <f>'Consumo Médio - Clientes'!C93</f>
        <v>3010469819</v>
      </c>
      <c r="D96" s="37">
        <f>'Consumo Médio - Clientes'!AX93</f>
        <v>2489</v>
      </c>
      <c r="E96" s="38">
        <f t="shared" si="25"/>
        <v>0.4146243471273604</v>
      </c>
      <c r="F96" s="37">
        <f t="shared" si="21"/>
        <v>1032</v>
      </c>
      <c r="G96" s="125">
        <f>'Consumo Médio - Clientes'!AY93</f>
        <v>3308</v>
      </c>
      <c r="H96" s="95">
        <v>0</v>
      </c>
      <c r="I96" s="122">
        <v>0</v>
      </c>
      <c r="J96" s="122">
        <v>0</v>
      </c>
      <c r="K96" s="122">
        <v>8.5999999999999993E-2</v>
      </c>
      <c r="L96" s="94">
        <v>0</v>
      </c>
      <c r="M96" s="122">
        <v>0</v>
      </c>
      <c r="N96" s="122">
        <v>0</v>
      </c>
      <c r="O96" s="122">
        <v>0</v>
      </c>
    </row>
    <row r="97" spans="1:15" ht="13.5" customHeight="1" x14ac:dyDescent="0.2">
      <c r="A97" s="18" t="str">
        <f>'Consumo Médio - Clientes'!A94</f>
        <v>Ednalva Freitas Santos</v>
      </c>
      <c r="B97" s="18">
        <f>'Consumo Médio - Clientes'!B94</f>
        <v>0</v>
      </c>
      <c r="C97" s="18">
        <f>'Consumo Médio - Clientes'!C94</f>
        <v>3011701509</v>
      </c>
      <c r="D97" s="37">
        <f>'Consumo Médio - Clientes'!AX94</f>
        <v>219</v>
      </c>
      <c r="E97" s="38">
        <f t="shared" ref="E97:E98" si="26">F97/D97</f>
        <v>0.97589041095890405</v>
      </c>
      <c r="F97" s="37">
        <f t="shared" si="21"/>
        <v>213.72</v>
      </c>
      <c r="G97" s="125">
        <f>'Consumo Médio - Clientes'!AY94</f>
        <v>0</v>
      </c>
      <c r="H97" s="95">
        <v>4.0000000000000001E-3</v>
      </c>
      <c r="I97" s="122">
        <v>0</v>
      </c>
      <c r="J97" s="122">
        <v>0</v>
      </c>
      <c r="K97" s="122">
        <v>0</v>
      </c>
      <c r="L97" s="94">
        <v>0</v>
      </c>
      <c r="M97" s="122">
        <v>0</v>
      </c>
      <c r="N97" s="122">
        <v>0</v>
      </c>
      <c r="O97" s="122">
        <v>0</v>
      </c>
    </row>
    <row r="98" spans="1:15" ht="13.5" customHeight="1" x14ac:dyDescent="0.2">
      <c r="A98" s="18" t="str">
        <f>'Consumo Médio - Clientes'!A95</f>
        <v>Rafael Martins de Faria</v>
      </c>
      <c r="B98" s="18">
        <f>'Consumo Médio - Clientes'!B95</f>
        <v>0</v>
      </c>
      <c r="C98" s="18">
        <f>'Consumo Médio - Clientes'!C95</f>
        <v>3004263106</v>
      </c>
      <c r="D98" s="37">
        <f>'Consumo Médio - Clientes'!AX95</f>
        <v>243</v>
      </c>
      <c r="E98" s="38">
        <f t="shared" si="26"/>
        <v>1.0993827160493825</v>
      </c>
      <c r="F98" s="37">
        <f t="shared" si="21"/>
        <v>267.14999999999998</v>
      </c>
      <c r="G98" s="125">
        <f>'Consumo Médio - Clientes'!AY95</f>
        <v>20</v>
      </c>
      <c r="H98" s="95">
        <v>5.0000000000000001E-3</v>
      </c>
      <c r="I98" s="122">
        <v>0</v>
      </c>
      <c r="J98" s="122">
        <v>0</v>
      </c>
      <c r="K98" s="122">
        <v>0</v>
      </c>
      <c r="L98" s="94">
        <v>0</v>
      </c>
      <c r="M98" s="122">
        <v>0</v>
      </c>
      <c r="N98" s="122">
        <v>0</v>
      </c>
      <c r="O98" s="122">
        <v>0</v>
      </c>
    </row>
    <row r="99" spans="1:15" ht="13.5" customHeight="1" x14ac:dyDescent="0.2">
      <c r="A99" s="18" t="str">
        <f>'Consumo Médio - Clientes'!A96</f>
        <v>Adega Ouro Preto LTDA</v>
      </c>
      <c r="B99" s="18">
        <f>'Consumo Médio - Clientes'!B96</f>
        <v>7005265331</v>
      </c>
      <c r="C99" s="18">
        <f>'Consumo Médio - Clientes'!C96</f>
        <v>3001088468</v>
      </c>
      <c r="D99" s="37">
        <f>'Consumo Médio - Clientes'!AX96</f>
        <v>947</v>
      </c>
      <c r="E99" s="38">
        <f t="shared" ref="E99:E103" si="27">F99/D99</f>
        <v>0.95914466737064419</v>
      </c>
      <c r="F99" s="37">
        <f t="shared" si="21"/>
        <v>908.31000000000006</v>
      </c>
      <c r="G99" s="125">
        <f>'Consumo Médio - Clientes'!AY96</f>
        <v>0</v>
      </c>
      <c r="H99" s="95">
        <v>1.7000000000000001E-2</v>
      </c>
      <c r="I99" s="122">
        <v>0</v>
      </c>
      <c r="J99" s="122">
        <v>0</v>
      </c>
      <c r="K99" s="122">
        <v>0</v>
      </c>
      <c r="L99" s="94">
        <v>0</v>
      </c>
      <c r="M99" s="122">
        <v>0</v>
      </c>
      <c r="N99" s="122">
        <v>0</v>
      </c>
      <c r="O99" s="122">
        <v>0</v>
      </c>
    </row>
    <row r="100" spans="1:15" ht="13.5" customHeight="1" x14ac:dyDescent="0.2">
      <c r="A100" s="18" t="str">
        <f>'Consumo Médio - Clientes'!A97</f>
        <v>Margarida Rocha Vianna de Oliveira (Adega)</v>
      </c>
      <c r="B100" s="18">
        <f>'Consumo Médio - Clientes'!B97</f>
        <v>7003220533</v>
      </c>
      <c r="C100" s="18">
        <f>'Consumo Médio - Clientes'!C97</f>
        <v>3001088467</v>
      </c>
      <c r="D100" s="37">
        <f>'Consumo Médio - Clientes'!AX97</f>
        <v>606</v>
      </c>
      <c r="E100" s="38">
        <f t="shared" si="27"/>
        <v>0.96985148514851494</v>
      </c>
      <c r="F100" s="37">
        <f t="shared" si="21"/>
        <v>587.73</v>
      </c>
      <c r="G100" s="125">
        <f>'Consumo Médio - Clientes'!AY97</f>
        <v>54</v>
      </c>
      <c r="H100" s="95">
        <v>1.0999999999999999E-2</v>
      </c>
      <c r="I100" s="122">
        <v>0</v>
      </c>
      <c r="J100" s="122">
        <v>0</v>
      </c>
      <c r="K100" s="122">
        <v>0</v>
      </c>
      <c r="L100" s="94">
        <v>0</v>
      </c>
      <c r="M100" s="122">
        <v>0</v>
      </c>
      <c r="N100" s="122">
        <v>0</v>
      </c>
      <c r="O100" s="122">
        <v>0</v>
      </c>
    </row>
    <row r="101" spans="1:15" ht="13.5" customHeight="1" x14ac:dyDescent="0.2">
      <c r="A101" s="18" t="str">
        <f>'Consumo Médio - Clientes'!A98</f>
        <v>Silvio Luiz Rocha Viana de Oliveira (Adega)</v>
      </c>
      <c r="B101" s="18">
        <f>'Consumo Médio - Clientes'!B98</f>
        <v>7005772487</v>
      </c>
      <c r="C101" s="18">
        <f>'Consumo Médio - Clientes'!C98</f>
        <v>3002872985</v>
      </c>
      <c r="D101" s="37">
        <f>'Consumo Médio - Clientes'!AX98</f>
        <v>146</v>
      </c>
      <c r="E101" s="38">
        <f t="shared" si="27"/>
        <v>1.0978767123287672</v>
      </c>
      <c r="F101" s="37">
        <f t="shared" si="21"/>
        <v>160.29</v>
      </c>
      <c r="G101" s="125">
        <f>'Consumo Médio - Clientes'!AY98</f>
        <v>15</v>
      </c>
      <c r="H101" s="95">
        <v>3.0000000000000001E-3</v>
      </c>
      <c r="I101" s="122">
        <v>0</v>
      </c>
      <c r="J101" s="122">
        <v>0</v>
      </c>
      <c r="K101" s="122">
        <v>0</v>
      </c>
      <c r="L101" s="94">
        <v>0</v>
      </c>
      <c r="M101" s="122">
        <v>0</v>
      </c>
      <c r="N101" s="122">
        <v>0</v>
      </c>
      <c r="O101" s="122">
        <v>0</v>
      </c>
    </row>
    <row r="102" spans="1:15" ht="13.5" customHeight="1" x14ac:dyDescent="0.2">
      <c r="A102" s="18" t="str">
        <f>'Consumo Médio - Clientes'!A99</f>
        <v>Guilherme Pereira Batista</v>
      </c>
      <c r="B102" s="18">
        <f>'Consumo Médio - Clientes'!B99</f>
        <v>7205469797</v>
      </c>
      <c r="C102" s="18">
        <f>'Consumo Médio - Clientes'!C99</f>
        <v>3013708265</v>
      </c>
      <c r="D102" s="37">
        <f>'Consumo Médio - Clientes'!AX99</f>
        <v>166</v>
      </c>
      <c r="E102" s="38">
        <f t="shared" si="27"/>
        <v>0.96560240963855415</v>
      </c>
      <c r="F102" s="37">
        <f t="shared" si="21"/>
        <v>160.29</v>
      </c>
      <c r="G102" s="125">
        <f>'Consumo Médio - Clientes'!AY99</f>
        <v>29</v>
      </c>
      <c r="H102" s="95">
        <v>3.0000000000000001E-3</v>
      </c>
      <c r="I102" s="122">
        <v>0</v>
      </c>
      <c r="J102" s="122">
        <v>0</v>
      </c>
      <c r="K102" s="122">
        <v>0</v>
      </c>
      <c r="L102" s="94">
        <v>0</v>
      </c>
      <c r="M102" s="122">
        <v>0</v>
      </c>
      <c r="N102" s="122">
        <v>0</v>
      </c>
      <c r="O102" s="122">
        <v>0</v>
      </c>
    </row>
    <row r="103" spans="1:15" ht="13.5" customHeight="1" x14ac:dyDescent="0.2">
      <c r="A103" s="18" t="str">
        <f>'Consumo Médio - Clientes'!A100</f>
        <v>Rozangela Carmelia da Conceição</v>
      </c>
      <c r="B103" s="18">
        <f>'Consumo Médio - Clientes'!B100</f>
        <v>0</v>
      </c>
      <c r="C103" s="18">
        <f>'Consumo Médio - Clientes'!C100</f>
        <v>3010727330</v>
      </c>
      <c r="D103" s="37">
        <f>'Consumo Médio - Clientes'!AX100</f>
        <v>125</v>
      </c>
      <c r="E103" s="38">
        <f t="shared" si="27"/>
        <v>1.2823199999999999</v>
      </c>
      <c r="F103" s="37">
        <f t="shared" si="21"/>
        <v>160.29</v>
      </c>
      <c r="G103" s="125">
        <f>'Consumo Médio - Clientes'!AY100</f>
        <v>71</v>
      </c>
      <c r="H103" s="95">
        <v>3.0000000000000001E-3</v>
      </c>
      <c r="I103" s="122">
        <v>0</v>
      </c>
      <c r="J103" s="122">
        <v>0</v>
      </c>
      <c r="K103" s="122">
        <v>0</v>
      </c>
      <c r="L103" s="94">
        <v>0</v>
      </c>
      <c r="M103" s="122">
        <v>0</v>
      </c>
      <c r="N103" s="122">
        <v>0</v>
      </c>
      <c r="O103" s="122">
        <v>0</v>
      </c>
    </row>
    <row r="104" spans="1:15" ht="13.5" customHeight="1" x14ac:dyDescent="0.2">
      <c r="A104" s="18" t="str">
        <f>'Consumo Médio - Clientes'!A101</f>
        <v>Maria Aparecida Santos Barbosa</v>
      </c>
      <c r="B104" s="18">
        <f>'Consumo Médio - Clientes'!B101</f>
        <v>0</v>
      </c>
      <c r="C104" s="18">
        <f>'Consumo Médio - Clientes'!C101</f>
        <v>3004256543</v>
      </c>
      <c r="D104" s="37">
        <f>'Consumo Médio - Clientes'!AX101</f>
        <v>181</v>
      </c>
      <c r="E104" s="38">
        <f t="shared" ref="E104" si="28">F104/D104</f>
        <v>0.8855801104972375</v>
      </c>
      <c r="F104" s="37">
        <f t="shared" si="21"/>
        <v>160.29</v>
      </c>
      <c r="G104" s="125">
        <f>'Consumo Médio - Clientes'!AY101</f>
        <v>45</v>
      </c>
      <c r="H104" s="95">
        <v>3.0000000000000001E-3</v>
      </c>
      <c r="I104" s="122">
        <v>0</v>
      </c>
      <c r="J104" s="122">
        <v>0</v>
      </c>
      <c r="K104" s="122">
        <v>0</v>
      </c>
      <c r="L104" s="94">
        <v>0</v>
      </c>
      <c r="M104" s="122">
        <v>0</v>
      </c>
      <c r="N104" s="122">
        <v>0</v>
      </c>
      <c r="O104" s="122">
        <v>0</v>
      </c>
    </row>
    <row r="105" spans="1:15" ht="13.5" customHeight="1" x14ac:dyDescent="0.2">
      <c r="A105" s="18" t="str">
        <f>'Consumo Médio - Clientes'!A102</f>
        <v>Barcelos Confecções</v>
      </c>
      <c r="B105" s="18">
        <f>'Consumo Médio - Clientes'!B102</f>
        <v>7200895448</v>
      </c>
      <c r="C105" s="18">
        <f>'Consumo Médio - Clientes'!C102</f>
        <v>3013815201</v>
      </c>
      <c r="D105" s="37">
        <f>'Consumo Médio - Clientes'!AX102</f>
        <v>611</v>
      </c>
      <c r="E105" s="38">
        <f t="shared" ref="E105" si="29">F105/D105</f>
        <v>0.78559738134206214</v>
      </c>
      <c r="F105" s="37">
        <f t="shared" si="21"/>
        <v>480</v>
      </c>
      <c r="G105" s="125">
        <f>'Consumo Médio - Clientes'!AY102</f>
        <v>841</v>
      </c>
      <c r="H105" s="95">
        <v>0</v>
      </c>
      <c r="I105" s="122">
        <v>0</v>
      </c>
      <c r="J105" s="122">
        <v>0</v>
      </c>
      <c r="K105" s="122">
        <v>0.04</v>
      </c>
      <c r="L105" s="94">
        <v>0</v>
      </c>
      <c r="M105" s="122">
        <v>0</v>
      </c>
      <c r="N105" s="122">
        <v>0</v>
      </c>
      <c r="O105" s="122">
        <v>0</v>
      </c>
    </row>
    <row r="106" spans="1:15" ht="13.5" customHeight="1" x14ac:dyDescent="0.2">
      <c r="A106" s="18" t="str">
        <f>'Consumo Médio - Clientes'!A103</f>
        <v>Cargus Itabira</v>
      </c>
      <c r="B106" s="18">
        <f>'Consumo Médio - Clientes'!B103</f>
        <v>7200896466</v>
      </c>
      <c r="C106" s="18">
        <f>'Consumo Médio - Clientes'!C103</f>
        <v>3013271512</v>
      </c>
      <c r="D106" s="37">
        <f>'Consumo Médio - Clientes'!AX103</f>
        <v>1349</v>
      </c>
      <c r="E106" s="38">
        <f t="shared" ref="E106:E111" si="30">F106/D106</f>
        <v>0.71163825055596741</v>
      </c>
      <c r="F106" s="37">
        <f t="shared" si="21"/>
        <v>960</v>
      </c>
      <c r="G106" s="125">
        <f>'Consumo Médio - Clientes'!AY103</f>
        <v>1663</v>
      </c>
      <c r="H106" s="95">
        <v>0</v>
      </c>
      <c r="I106" s="122">
        <v>0</v>
      </c>
      <c r="J106" s="122">
        <v>0</v>
      </c>
      <c r="K106" s="122">
        <v>0.08</v>
      </c>
      <c r="L106" s="94">
        <v>0</v>
      </c>
      <c r="M106" s="122">
        <v>0</v>
      </c>
      <c r="N106" s="122">
        <v>0</v>
      </c>
      <c r="O106" s="122">
        <v>0</v>
      </c>
    </row>
    <row r="107" spans="1:15" ht="13.5" customHeight="1" x14ac:dyDescent="0.2">
      <c r="A107" s="18" t="str">
        <f>'Consumo Médio - Clientes'!A104</f>
        <v>Guanhães Moto Peças LTDA</v>
      </c>
      <c r="B107" s="18">
        <f>'Consumo Médio - Clientes'!B104</f>
        <v>0</v>
      </c>
      <c r="C107" s="18">
        <f>'Consumo Médio - Clientes'!C104</f>
        <v>3001516753</v>
      </c>
      <c r="D107" s="37">
        <f>'Consumo Médio - Clientes'!AX104</f>
        <v>756</v>
      </c>
      <c r="E107" s="38">
        <f t="shared" si="30"/>
        <v>0.95238095238095233</v>
      </c>
      <c r="F107" s="37">
        <f t="shared" si="21"/>
        <v>720</v>
      </c>
      <c r="G107" s="125">
        <f>'Consumo Médio - Clientes'!AY104</f>
        <v>0</v>
      </c>
      <c r="H107" s="95">
        <v>0</v>
      </c>
      <c r="I107" s="122">
        <v>0</v>
      </c>
      <c r="J107" s="122">
        <v>0</v>
      </c>
      <c r="K107" s="122">
        <v>0</v>
      </c>
      <c r="L107" s="94">
        <v>0.06</v>
      </c>
      <c r="M107" s="122">
        <v>0</v>
      </c>
      <c r="N107" s="122">
        <v>0</v>
      </c>
      <c r="O107" s="122">
        <v>0</v>
      </c>
    </row>
    <row r="108" spans="1:15" ht="13.5" customHeight="1" x14ac:dyDescent="0.2">
      <c r="A108" s="18" t="str">
        <f>'Consumo Médio - Clientes'!A105</f>
        <v>Sérgio do Amaral</v>
      </c>
      <c r="B108" s="18">
        <f>'Consumo Médio - Clientes'!B105</f>
        <v>0</v>
      </c>
      <c r="C108" s="18">
        <f>'Consumo Médio - Clientes'!C105</f>
        <v>3002906629</v>
      </c>
      <c r="D108" s="37">
        <f>'Consumo Médio - Clientes'!AX105</f>
        <v>423</v>
      </c>
      <c r="E108" s="38">
        <f t="shared" si="30"/>
        <v>1.0104964539007093</v>
      </c>
      <c r="F108" s="37">
        <f t="shared" si="21"/>
        <v>427.44</v>
      </c>
      <c r="G108" s="125">
        <f>'Consumo Médio - Clientes'!AY105</f>
        <v>169</v>
      </c>
      <c r="H108" s="95">
        <v>8.0000000000000002E-3</v>
      </c>
      <c r="I108" s="122">
        <v>0</v>
      </c>
      <c r="J108" s="122">
        <v>0</v>
      </c>
      <c r="K108" s="122">
        <v>0</v>
      </c>
      <c r="L108" s="94">
        <v>0</v>
      </c>
      <c r="M108" s="122">
        <v>0</v>
      </c>
      <c r="N108" s="122">
        <v>0</v>
      </c>
      <c r="O108" s="122">
        <v>0</v>
      </c>
    </row>
    <row r="109" spans="1:15" ht="13.5" customHeight="1" x14ac:dyDescent="0.2">
      <c r="A109" s="18" t="str">
        <f>'Consumo Médio - Clientes'!A106</f>
        <v>Sérgio do Amaral</v>
      </c>
      <c r="B109" s="18">
        <f>'Consumo Médio - Clientes'!B106</f>
        <v>0</v>
      </c>
      <c r="C109" s="18">
        <f>'Consumo Médio - Clientes'!C106</f>
        <v>3003401215</v>
      </c>
      <c r="D109" s="37">
        <f>'Consumo Médio - Clientes'!AX106</f>
        <v>260</v>
      </c>
      <c r="E109" s="38">
        <f t="shared" si="30"/>
        <v>0.82199999999999995</v>
      </c>
      <c r="F109" s="37">
        <f t="shared" si="21"/>
        <v>213.72</v>
      </c>
      <c r="G109" s="125">
        <f>'Consumo Médio - Clientes'!AY106</f>
        <v>44</v>
      </c>
      <c r="H109" s="95">
        <v>4.0000000000000001E-3</v>
      </c>
      <c r="I109" s="122">
        <v>0</v>
      </c>
      <c r="J109" s="122">
        <v>0</v>
      </c>
      <c r="K109" s="122">
        <v>0</v>
      </c>
      <c r="L109" s="94">
        <v>0</v>
      </c>
      <c r="M109" s="122">
        <v>0</v>
      </c>
      <c r="N109" s="122">
        <v>0</v>
      </c>
      <c r="O109" s="122">
        <v>0</v>
      </c>
    </row>
    <row r="110" spans="1:15" ht="13.5" customHeight="1" x14ac:dyDescent="0.2">
      <c r="A110" s="18" t="str">
        <f>'Consumo Médio - Clientes'!A107</f>
        <v>Via Capital Gestão de Ativos S.A</v>
      </c>
      <c r="B110" s="18">
        <f>'Consumo Médio - Clientes'!B107</f>
        <v>0</v>
      </c>
      <c r="C110" s="18">
        <f>'Consumo Médio - Clientes'!C107</f>
        <v>3013757563</v>
      </c>
      <c r="D110" s="37">
        <f>'Consumo Médio - Clientes'!AX107</f>
        <v>4575</v>
      </c>
      <c r="E110" s="38">
        <f t="shared" ref="E110:E112" si="31">F110/D110</f>
        <v>0.81750819672131159</v>
      </c>
      <c r="F110" s="37">
        <f t="shared" si="21"/>
        <v>3740.1000000000004</v>
      </c>
      <c r="G110" s="125">
        <f>'Consumo Médio - Clientes'!AY107</f>
        <v>3524</v>
      </c>
      <c r="H110" s="95">
        <v>7.0000000000000007E-2</v>
      </c>
      <c r="I110" s="122">
        <v>0</v>
      </c>
      <c r="J110" s="122">
        <v>0</v>
      </c>
      <c r="K110" s="122">
        <v>0</v>
      </c>
      <c r="L110" s="94">
        <v>0</v>
      </c>
      <c r="M110" s="122">
        <v>0</v>
      </c>
      <c r="N110" s="122">
        <v>0</v>
      </c>
      <c r="O110" s="122">
        <v>0</v>
      </c>
    </row>
    <row r="111" spans="1:15" ht="13.5" customHeight="1" x14ac:dyDescent="0.2">
      <c r="A111" s="18" t="str">
        <f>'Consumo Médio - Clientes'!A108</f>
        <v>Via Capital Gestão de Ativos S.A</v>
      </c>
      <c r="B111" s="18">
        <f>'Consumo Médio - Clientes'!B108</f>
        <v>0</v>
      </c>
      <c r="C111" s="18">
        <f>'Consumo Médio - Clientes'!C108</f>
        <v>3013757564</v>
      </c>
      <c r="D111" s="37">
        <f>'Consumo Médio - Clientes'!AX108</f>
        <v>4269</v>
      </c>
      <c r="E111" s="38">
        <f t="shared" si="30"/>
        <v>1.0012649332396344</v>
      </c>
      <c r="F111" s="37">
        <f t="shared" si="21"/>
        <v>4274.3999999999996</v>
      </c>
      <c r="G111" s="125">
        <f>'Consumo Médio - Clientes'!AY108</f>
        <v>2490</v>
      </c>
      <c r="H111" s="95">
        <v>0.08</v>
      </c>
      <c r="I111" s="122">
        <v>0</v>
      </c>
      <c r="J111" s="122">
        <v>0</v>
      </c>
      <c r="K111" s="122">
        <v>0</v>
      </c>
      <c r="L111" s="94">
        <v>0</v>
      </c>
      <c r="M111" s="122">
        <v>0</v>
      </c>
      <c r="N111" s="122">
        <v>0</v>
      </c>
      <c r="O111" s="122">
        <v>0</v>
      </c>
    </row>
    <row r="112" spans="1:15" ht="13.5" customHeight="1" x14ac:dyDescent="0.2">
      <c r="A112" s="18" t="str">
        <f>'Consumo Médio - Clientes'!A109</f>
        <v>Sindicato Metabase Itabira</v>
      </c>
      <c r="B112" s="18">
        <f>'Consumo Médio - Clientes'!B109</f>
        <v>7000047224</v>
      </c>
      <c r="C112" s="18">
        <f>'Consumo Médio - Clientes'!C109</f>
        <v>3009003168</v>
      </c>
      <c r="D112" s="37">
        <f>'Consumo Médio - Clientes'!AX109</f>
        <v>10578</v>
      </c>
      <c r="E112" s="38">
        <f t="shared" si="31"/>
        <v>1.198893930799773</v>
      </c>
      <c r="F112" s="37">
        <f t="shared" si="21"/>
        <v>12681.9</v>
      </c>
      <c r="G112" s="125">
        <f>'Consumo Médio - Clientes'!AY109</f>
        <v>1399</v>
      </c>
      <c r="H112" s="95">
        <v>0</v>
      </c>
      <c r="I112" s="122">
        <v>2.7E-2</v>
      </c>
      <c r="J112" s="122">
        <v>0</v>
      </c>
      <c r="K112" s="122">
        <v>0</v>
      </c>
      <c r="L112" s="94">
        <v>0</v>
      </c>
      <c r="M112" s="122">
        <v>0</v>
      </c>
      <c r="N112" s="122">
        <v>0</v>
      </c>
      <c r="O112" s="122">
        <v>0</v>
      </c>
    </row>
    <row r="113" spans="1:15" ht="13.5" customHeight="1" x14ac:dyDescent="0.2">
      <c r="A113" s="18" t="str">
        <f>'Consumo Médio - Clientes'!A110</f>
        <v>Tatiana Erica Carlos</v>
      </c>
      <c r="B113" s="18">
        <f>'Consumo Médio - Clientes'!B110</f>
        <v>7200873822</v>
      </c>
      <c r="C113" s="18">
        <f>'Consumo Médio - Clientes'!C110</f>
        <v>3013011399</v>
      </c>
      <c r="D113" s="37">
        <f>'Consumo Médio - Clientes'!AX110</f>
        <v>282</v>
      </c>
      <c r="E113" s="38">
        <f t="shared" ref="E113:E116" si="32">F113/D113</f>
        <v>0.75787234042553187</v>
      </c>
      <c r="F113" s="37">
        <f t="shared" si="21"/>
        <v>213.72</v>
      </c>
      <c r="G113" s="125">
        <f>'Consumo Médio - Clientes'!AY110</f>
        <v>3</v>
      </c>
      <c r="H113" s="95">
        <v>4.0000000000000001E-3</v>
      </c>
      <c r="I113" s="122">
        <v>0</v>
      </c>
      <c r="J113" s="122">
        <v>0</v>
      </c>
      <c r="K113" s="122">
        <v>0</v>
      </c>
      <c r="L113" s="94">
        <v>0</v>
      </c>
      <c r="M113" s="122">
        <v>0</v>
      </c>
      <c r="N113" s="122">
        <v>0</v>
      </c>
      <c r="O113" s="122">
        <v>0</v>
      </c>
    </row>
    <row r="114" spans="1:15" ht="13.5" customHeight="1" x14ac:dyDescent="0.2">
      <c r="A114" s="18" t="str">
        <f>'Consumo Médio - Clientes'!A111</f>
        <v>João Fideles Carlos</v>
      </c>
      <c r="B114" s="18">
        <f>'Consumo Médio - Clientes'!B111</f>
        <v>7002879627</v>
      </c>
      <c r="C114" s="18">
        <f>'Consumo Médio - Clientes'!C111</f>
        <v>3000553251</v>
      </c>
      <c r="D114" s="37">
        <f>'Consumo Médio - Clientes'!AX111</f>
        <v>382</v>
      </c>
      <c r="E114" s="38">
        <f t="shared" si="32"/>
        <v>0.83921465968586384</v>
      </c>
      <c r="F114" s="37">
        <f t="shared" si="21"/>
        <v>320.58</v>
      </c>
      <c r="G114" s="125">
        <f>'Consumo Médio - Clientes'!AY111</f>
        <v>0</v>
      </c>
      <c r="H114" s="95">
        <v>6.0000000000000001E-3</v>
      </c>
      <c r="I114" s="122">
        <v>0</v>
      </c>
      <c r="J114" s="122">
        <v>0</v>
      </c>
      <c r="K114" s="122">
        <v>0</v>
      </c>
      <c r="L114" s="94">
        <v>0</v>
      </c>
      <c r="M114" s="122">
        <v>0</v>
      </c>
      <c r="N114" s="122">
        <v>0</v>
      </c>
      <c r="O114" s="122">
        <v>0</v>
      </c>
    </row>
    <row r="115" spans="1:15" ht="13.5" customHeight="1" x14ac:dyDescent="0.2">
      <c r="A115" s="18" t="str">
        <f>'Consumo Médio - Clientes'!A112</f>
        <v>José Enisio Carlos</v>
      </c>
      <c r="B115" s="18">
        <f>'Consumo Médio - Clientes'!B112</f>
        <v>7010444936</v>
      </c>
      <c r="C115" s="18">
        <f>'Consumo Médio - Clientes'!C112</f>
        <v>3011882114</v>
      </c>
      <c r="D115" s="37">
        <f>'Consumo Médio - Clientes'!AX112</f>
        <v>233</v>
      </c>
      <c r="E115" s="38">
        <f t="shared" si="32"/>
        <v>0.91725321888412015</v>
      </c>
      <c r="F115" s="37">
        <f t="shared" si="21"/>
        <v>213.72</v>
      </c>
      <c r="G115" s="125">
        <f>'Consumo Médio - Clientes'!AY112</f>
        <v>65</v>
      </c>
      <c r="H115" s="95">
        <v>4.0000000000000001E-3</v>
      </c>
      <c r="I115" s="122">
        <v>0</v>
      </c>
      <c r="J115" s="122">
        <v>0</v>
      </c>
      <c r="K115" s="122">
        <v>0</v>
      </c>
      <c r="L115" s="94">
        <v>0</v>
      </c>
      <c r="M115" s="122">
        <v>0</v>
      </c>
      <c r="N115" s="122">
        <v>0</v>
      </c>
      <c r="O115" s="122">
        <v>0</v>
      </c>
    </row>
    <row r="116" spans="1:15" ht="13.5" customHeight="1" x14ac:dyDescent="0.2">
      <c r="A116" s="18" t="str">
        <f>'Consumo Médio - Clientes'!A113</f>
        <v>Adenilson José de Souza</v>
      </c>
      <c r="B116" s="18">
        <f>'Consumo Médio - Clientes'!B113</f>
        <v>7001356142</v>
      </c>
      <c r="C116" s="18">
        <f>'Consumo Médio - Clientes'!C113</f>
        <v>3013774121</v>
      </c>
      <c r="D116" s="37">
        <f>'Consumo Médio - Clientes'!AX113</f>
        <v>552</v>
      </c>
      <c r="E116" s="38">
        <f t="shared" si="32"/>
        <v>1.0647282608695652</v>
      </c>
      <c r="F116" s="37">
        <f t="shared" si="21"/>
        <v>587.73</v>
      </c>
      <c r="G116" s="125">
        <f>'Consumo Médio - Clientes'!AY113</f>
        <v>165</v>
      </c>
      <c r="H116" s="95">
        <v>1.0999999999999999E-2</v>
      </c>
      <c r="I116" s="122">
        <v>0</v>
      </c>
      <c r="J116" s="122">
        <v>0</v>
      </c>
      <c r="K116" s="122">
        <v>0</v>
      </c>
      <c r="L116" s="94">
        <v>0</v>
      </c>
      <c r="M116" s="122">
        <v>0</v>
      </c>
      <c r="N116" s="122">
        <v>0</v>
      </c>
      <c r="O116" s="122">
        <v>0</v>
      </c>
    </row>
    <row r="117" spans="1:15" ht="13.5" customHeight="1" x14ac:dyDescent="0.2">
      <c r="A117" s="18" t="str">
        <f>'Consumo Médio - Clientes'!A114</f>
        <v>MD Predial</v>
      </c>
      <c r="B117" s="18">
        <f>'Consumo Médio - Clientes'!B114</f>
        <v>7005492088</v>
      </c>
      <c r="C117" s="18">
        <f>'Consumo Médio - Clientes'!C114</f>
        <v>3014980485</v>
      </c>
      <c r="D117" s="37">
        <f>'Consumo Médio - Clientes'!AX114</f>
        <v>919</v>
      </c>
      <c r="E117" s="38">
        <f t="shared" ref="E117:E118" si="33">F117/D117</f>
        <v>0.75581066376496187</v>
      </c>
      <c r="F117" s="37">
        <f t="shared" si="21"/>
        <v>694.58999999999992</v>
      </c>
      <c r="G117" s="125">
        <f>'Consumo Médio - Clientes'!AY114</f>
        <v>0</v>
      </c>
      <c r="H117" s="95">
        <v>1.2999999999999999E-2</v>
      </c>
      <c r="I117" s="122">
        <v>0</v>
      </c>
      <c r="J117" s="122">
        <v>0</v>
      </c>
      <c r="K117" s="122">
        <v>0</v>
      </c>
      <c r="L117" s="94">
        <v>0</v>
      </c>
      <c r="M117" s="122">
        <v>0</v>
      </c>
      <c r="N117" s="122">
        <v>0</v>
      </c>
      <c r="O117" s="122">
        <v>0</v>
      </c>
    </row>
    <row r="118" spans="1:15" ht="13.5" customHeight="1" x14ac:dyDescent="0.2">
      <c r="A118" s="18" t="str">
        <f>'Consumo Médio - Clientes'!A115</f>
        <v>Carlucio Altino Mendes Silva</v>
      </c>
      <c r="B118" s="18">
        <f>'Consumo Médio - Clientes'!B115</f>
        <v>0</v>
      </c>
      <c r="C118" s="18">
        <f>'Consumo Médio - Clientes'!C115</f>
        <v>3010696239</v>
      </c>
      <c r="D118" s="37">
        <f>'Consumo Médio - Clientes'!AX115</f>
        <v>323</v>
      </c>
      <c r="E118" s="38">
        <f t="shared" si="33"/>
        <v>0.4962538699690402</v>
      </c>
      <c r="F118" s="37">
        <f t="shared" si="21"/>
        <v>160.29</v>
      </c>
      <c r="G118" s="125">
        <f>'Consumo Médio - Clientes'!AY115</f>
        <v>310</v>
      </c>
      <c r="H118" s="95">
        <v>3.0000000000000001E-3</v>
      </c>
      <c r="I118" s="122">
        <v>0</v>
      </c>
      <c r="J118" s="122">
        <v>0</v>
      </c>
      <c r="K118" s="122">
        <v>0</v>
      </c>
      <c r="L118" s="94">
        <v>0</v>
      </c>
      <c r="M118" s="122">
        <v>0</v>
      </c>
      <c r="N118" s="122">
        <v>0</v>
      </c>
      <c r="O118" s="122">
        <v>0</v>
      </c>
    </row>
    <row r="119" spans="1:15" ht="13.5" customHeight="1" x14ac:dyDescent="0.2">
      <c r="A119" s="18" t="str">
        <f>'Consumo Médio - Clientes'!A116</f>
        <v>Magali Batista Fontanela Andrade</v>
      </c>
      <c r="B119" s="18">
        <f>'Consumo Médio - Clientes'!B116</f>
        <v>0</v>
      </c>
      <c r="C119" s="18">
        <f>'Consumo Médio - Clientes'!C116</f>
        <v>3011336832</v>
      </c>
      <c r="D119" s="37">
        <f>'Consumo Médio - Clientes'!AX116</f>
        <v>282</v>
      </c>
      <c r="E119" s="38">
        <f t="shared" ref="E119" si="34">F119/D119</f>
        <v>0.94734042553191478</v>
      </c>
      <c r="F119" s="37">
        <f t="shared" si="21"/>
        <v>267.14999999999998</v>
      </c>
      <c r="G119" s="125">
        <f>'Consumo Médio - Clientes'!AY116</f>
        <v>0</v>
      </c>
      <c r="H119" s="95">
        <v>5.0000000000000001E-3</v>
      </c>
      <c r="I119" s="122">
        <v>0</v>
      </c>
      <c r="J119" s="122">
        <v>0</v>
      </c>
      <c r="K119" s="122">
        <v>0</v>
      </c>
      <c r="L119" s="94">
        <v>0</v>
      </c>
      <c r="M119" s="122">
        <v>0</v>
      </c>
      <c r="N119" s="122">
        <v>0</v>
      </c>
      <c r="O119" s="122">
        <v>0</v>
      </c>
    </row>
    <row r="120" spans="1:15" ht="13.5" customHeight="1" x14ac:dyDescent="0.2">
      <c r="A120" s="18" t="str">
        <f>'Consumo Médio - Clientes'!A117</f>
        <v>Usileste Usinagem &amp; Caldeiraria Ltda</v>
      </c>
      <c r="B120" s="18">
        <f>'Consumo Médio - Clientes'!B117</f>
        <v>0</v>
      </c>
      <c r="C120" s="18">
        <f>'Consumo Médio - Clientes'!C117</f>
        <v>3011905434</v>
      </c>
      <c r="D120" s="37">
        <f>'Consumo Médio - Clientes'!AX117</f>
        <v>4830</v>
      </c>
      <c r="E120" s="38">
        <f t="shared" ref="E120" si="35">F120/D120</f>
        <v>1.1669565217391304</v>
      </c>
      <c r="F120" s="37">
        <f t="shared" si="21"/>
        <v>5636.4000000000005</v>
      </c>
      <c r="G120" s="125">
        <f>'Consumo Médio - Clientes'!AY117</f>
        <v>503</v>
      </c>
      <c r="H120" s="95">
        <v>0</v>
      </c>
      <c r="I120" s="122">
        <v>1.2E-2</v>
      </c>
      <c r="J120" s="122">
        <v>0</v>
      </c>
      <c r="K120" s="122">
        <v>0</v>
      </c>
      <c r="L120" s="94">
        <v>0</v>
      </c>
      <c r="M120" s="122">
        <v>0</v>
      </c>
      <c r="N120" s="122">
        <v>0</v>
      </c>
      <c r="O120" s="122">
        <v>0</v>
      </c>
    </row>
    <row r="121" spans="1:15" ht="13.5" customHeight="1" x14ac:dyDescent="0.2">
      <c r="A121" s="18" t="str">
        <f>'Consumo Médio - Clientes'!A118</f>
        <v>Senescer Morada LTDA</v>
      </c>
      <c r="B121" s="18">
        <f>'Consumo Médio - Clientes'!B118</f>
        <v>0</v>
      </c>
      <c r="C121" s="18">
        <f>'Consumo Médio - Clientes'!C118</f>
        <v>3002877896</v>
      </c>
      <c r="D121" s="37">
        <f>'Consumo Médio - Clientes'!AX118</f>
        <v>1264</v>
      </c>
      <c r="E121" s="38">
        <f t="shared" ref="E121" si="36">F121/D121</f>
        <v>1.0443037974683544</v>
      </c>
      <c r="F121" s="37">
        <f t="shared" si="21"/>
        <v>1320</v>
      </c>
      <c r="G121" s="125">
        <f>'Consumo Médio - Clientes'!AY118</f>
        <v>1593</v>
      </c>
      <c r="H121" s="95">
        <v>0</v>
      </c>
      <c r="I121" s="122">
        <v>0</v>
      </c>
      <c r="J121" s="122">
        <v>0</v>
      </c>
      <c r="K121" s="122">
        <v>0.11</v>
      </c>
      <c r="L121" s="94">
        <v>0</v>
      </c>
      <c r="M121" s="122">
        <v>0</v>
      </c>
      <c r="N121" s="122">
        <v>0</v>
      </c>
      <c r="O121" s="122">
        <v>0</v>
      </c>
    </row>
    <row r="122" spans="1:15" ht="13.5" customHeight="1" x14ac:dyDescent="0.2">
      <c r="A122" s="18" t="str">
        <f>'Consumo Médio - Clientes'!A119</f>
        <v>José Antônio da Fonseca</v>
      </c>
      <c r="B122" s="18">
        <f>'Consumo Médio - Clientes'!B119</f>
        <v>7004085358</v>
      </c>
      <c r="C122" s="18">
        <f>'Consumo Médio - Clientes'!C119</f>
        <v>3002248046</v>
      </c>
      <c r="D122" s="37">
        <f>'Consumo Médio - Clientes'!AX119</f>
        <v>390</v>
      </c>
      <c r="E122" s="38">
        <f t="shared" ref="E122:E125" si="37">F122/D122</f>
        <v>0.95899999999999996</v>
      </c>
      <c r="F122" s="37">
        <f t="shared" si="21"/>
        <v>374.01</v>
      </c>
      <c r="G122" s="125">
        <f>'Consumo Médio - Clientes'!AY119</f>
        <v>79</v>
      </c>
      <c r="H122" s="95">
        <v>7.0000000000000001E-3</v>
      </c>
      <c r="I122" s="122">
        <v>0</v>
      </c>
      <c r="J122" s="122">
        <v>0</v>
      </c>
      <c r="K122" s="122">
        <v>0</v>
      </c>
      <c r="L122" s="94">
        <v>0</v>
      </c>
      <c r="M122" s="122">
        <v>0</v>
      </c>
      <c r="N122" s="122">
        <v>0</v>
      </c>
      <c r="O122" s="122">
        <v>0</v>
      </c>
    </row>
    <row r="123" spans="1:15" ht="13.5" customHeight="1" x14ac:dyDescent="0.2">
      <c r="A123" s="18" t="str">
        <f>'Consumo Médio - Clientes'!A120</f>
        <v>Gilda de Castro Souza</v>
      </c>
      <c r="B123" s="18">
        <f>'Consumo Médio - Clientes'!B120</f>
        <v>7003298012</v>
      </c>
      <c r="C123" s="18">
        <f>'Consumo Médio - Clientes'!C120</f>
        <v>3013242817</v>
      </c>
      <c r="D123" s="37">
        <f>'Consumo Médio - Clientes'!AX120</f>
        <v>156</v>
      </c>
      <c r="E123" s="38">
        <f t="shared" si="37"/>
        <v>0.68499999999999994</v>
      </c>
      <c r="F123" s="37">
        <f t="shared" si="21"/>
        <v>106.86</v>
      </c>
      <c r="G123" s="125">
        <f>'Consumo Médio - Clientes'!AY120</f>
        <v>178</v>
      </c>
      <c r="H123" s="95">
        <v>2E-3</v>
      </c>
      <c r="I123" s="122">
        <v>0</v>
      </c>
      <c r="J123" s="122">
        <v>0</v>
      </c>
      <c r="K123" s="122">
        <v>0</v>
      </c>
      <c r="L123" s="94">
        <v>0</v>
      </c>
      <c r="M123" s="122">
        <v>0</v>
      </c>
      <c r="N123" s="122">
        <v>0</v>
      </c>
      <c r="O123" s="122">
        <v>0</v>
      </c>
    </row>
    <row r="124" spans="1:15" ht="13.5" customHeight="1" x14ac:dyDescent="0.2">
      <c r="A124" s="18" t="str">
        <f>'Consumo Médio - Clientes'!A121</f>
        <v>Karina Ferreira Marques</v>
      </c>
      <c r="B124" s="18">
        <f>'Consumo Médio - Clientes'!B121</f>
        <v>0</v>
      </c>
      <c r="C124" s="18">
        <f>'Consumo Médio - Clientes'!C121</f>
        <v>3000098654</v>
      </c>
      <c r="D124" s="37">
        <f>'Consumo Médio - Clientes'!AX121</f>
        <v>206</v>
      </c>
      <c r="E124" s="38">
        <f t="shared" si="37"/>
        <v>1.0374757281553397</v>
      </c>
      <c r="F124" s="37">
        <f t="shared" si="21"/>
        <v>213.72</v>
      </c>
      <c r="G124" s="125">
        <f>'Consumo Médio - Clientes'!AY121</f>
        <v>0</v>
      </c>
      <c r="H124" s="95">
        <v>4.0000000000000001E-3</v>
      </c>
      <c r="I124" s="122">
        <v>0</v>
      </c>
      <c r="J124" s="122">
        <v>0</v>
      </c>
      <c r="K124" s="122">
        <v>0</v>
      </c>
      <c r="L124" s="94">
        <v>0</v>
      </c>
      <c r="M124" s="122">
        <v>0</v>
      </c>
      <c r="N124" s="122">
        <v>0</v>
      </c>
      <c r="O124" s="122">
        <v>0</v>
      </c>
    </row>
    <row r="125" spans="1:15" ht="13.5" customHeight="1" x14ac:dyDescent="0.2">
      <c r="A125" s="18" t="str">
        <f>'Consumo Médio - Clientes'!A122</f>
        <v>Vitor Gandra Rocha</v>
      </c>
      <c r="B125" s="18">
        <f>'Consumo Médio - Clientes'!B122</f>
        <v>7201631196</v>
      </c>
      <c r="C125" s="18">
        <f>'Consumo Médio - Clientes'!C122</f>
        <v>3013324963</v>
      </c>
      <c r="D125" s="37">
        <f>'Consumo Médio - Clientes'!AX122</f>
        <v>174</v>
      </c>
      <c r="E125" s="38">
        <f t="shared" si="37"/>
        <v>0.92120689655172405</v>
      </c>
      <c r="F125" s="37">
        <f t="shared" si="21"/>
        <v>160.29</v>
      </c>
      <c r="G125" s="125">
        <f>'Consumo Médio - Clientes'!AY122</f>
        <v>61</v>
      </c>
      <c r="H125" s="95">
        <v>3.0000000000000001E-3</v>
      </c>
      <c r="I125" s="122">
        <v>0</v>
      </c>
      <c r="J125" s="122">
        <v>0</v>
      </c>
      <c r="K125" s="122">
        <v>0</v>
      </c>
      <c r="L125" s="94">
        <v>0</v>
      </c>
      <c r="M125" s="122">
        <v>0</v>
      </c>
      <c r="N125" s="122">
        <v>0</v>
      </c>
      <c r="O125" s="122">
        <v>0</v>
      </c>
    </row>
    <row r="126" spans="1:15" ht="13.5" customHeight="1" x14ac:dyDescent="0.2">
      <c r="A126" s="18" t="str">
        <f>'Consumo Médio - Clientes'!A123</f>
        <v>Rosa Ligh</v>
      </c>
      <c r="B126" s="18">
        <f>'Consumo Médio - Clientes'!B123</f>
        <v>7008948117</v>
      </c>
      <c r="C126" s="18">
        <f>'Consumo Médio - Clientes'!C123</f>
        <v>3010212220</v>
      </c>
      <c r="D126" s="37">
        <f>'Consumo Médio - Clientes'!AX123</f>
        <v>6824</v>
      </c>
      <c r="E126" s="38">
        <f t="shared" ref="E126" si="38">F126/D126</f>
        <v>0.8259671746776085</v>
      </c>
      <c r="F126" s="37">
        <f t="shared" si="21"/>
        <v>5636.4000000000005</v>
      </c>
      <c r="G126" s="125">
        <f>'Consumo Médio - Clientes'!AY123</f>
        <v>0</v>
      </c>
      <c r="H126" s="95">
        <v>0</v>
      </c>
      <c r="I126" s="122">
        <v>1.2E-2</v>
      </c>
      <c r="J126" s="122">
        <v>0</v>
      </c>
      <c r="K126" s="122">
        <v>0</v>
      </c>
      <c r="L126" s="94">
        <v>0</v>
      </c>
      <c r="M126" s="122">
        <v>0</v>
      </c>
      <c r="N126" s="122">
        <v>0</v>
      </c>
      <c r="O126" s="122">
        <v>0</v>
      </c>
    </row>
    <row r="127" spans="1:15" ht="13.5" customHeight="1" x14ac:dyDescent="0.2">
      <c r="A127" s="18" t="str">
        <f>'Consumo Médio - Clientes'!A124</f>
        <v>Panificadora Rodrigues e Martins LTDA</v>
      </c>
      <c r="B127" s="18">
        <f>'Consumo Médio - Clientes'!B124</f>
        <v>7203035197</v>
      </c>
      <c r="C127" s="18">
        <f>'Consumo Médio - Clientes'!C124</f>
        <v>3003870642</v>
      </c>
      <c r="D127" s="37">
        <f>'Consumo Médio - Clientes'!AX124</f>
        <v>6441</v>
      </c>
      <c r="E127" s="38">
        <f t="shared" ref="E127" si="39">F127/D127</f>
        <v>1.0209284272628474</v>
      </c>
      <c r="F127" s="37">
        <f t="shared" ref="F127:F130" si="40">SUM(H127*$H$2,I127*$I$2,J127*$J$2,$K$2*K127,$L$2*L127,M127*$M$2,N127*$N$2,O127*$O$2)</f>
        <v>6575.8</v>
      </c>
      <c r="G127" s="125">
        <f>'Consumo Médio - Clientes'!AY124</f>
        <v>0</v>
      </c>
      <c r="H127" s="95">
        <v>0</v>
      </c>
      <c r="I127" s="122">
        <v>1.4E-2</v>
      </c>
      <c r="J127" s="122">
        <v>0</v>
      </c>
      <c r="K127" s="122">
        <v>0</v>
      </c>
      <c r="L127" s="94">
        <v>0</v>
      </c>
      <c r="M127" s="122">
        <v>0</v>
      </c>
      <c r="N127" s="122">
        <v>0</v>
      </c>
      <c r="O127" s="122">
        <v>0</v>
      </c>
    </row>
    <row r="128" spans="1:15" ht="13.5" customHeight="1" x14ac:dyDescent="0.2">
      <c r="A128" s="18" t="str">
        <f>'Consumo Médio - Clientes'!A125</f>
        <v>Jose Dilson Cardoso</v>
      </c>
      <c r="B128" s="18">
        <f>'Consumo Médio - Clientes'!B125</f>
        <v>0</v>
      </c>
      <c r="C128" s="18">
        <f>'Consumo Médio - Clientes'!C125</f>
        <v>3000236451</v>
      </c>
      <c r="D128" s="37">
        <f>'Consumo Médio - Clientes'!AX125</f>
        <v>319</v>
      </c>
      <c r="E128" s="38">
        <f t="shared" ref="E128" si="41">F128/D128</f>
        <v>1.0049529780564264</v>
      </c>
      <c r="F128" s="37">
        <f t="shared" si="40"/>
        <v>320.58</v>
      </c>
      <c r="G128" s="125">
        <f>'Consumo Médio - Clientes'!AY125</f>
        <v>0</v>
      </c>
      <c r="H128" s="95">
        <v>6.0000000000000001E-3</v>
      </c>
      <c r="I128" s="122">
        <v>0</v>
      </c>
      <c r="J128" s="122">
        <v>0</v>
      </c>
      <c r="K128" s="122">
        <v>0</v>
      </c>
      <c r="L128" s="94">
        <v>0</v>
      </c>
      <c r="M128" s="122">
        <v>0</v>
      </c>
      <c r="N128" s="122">
        <v>0</v>
      </c>
      <c r="O128" s="122">
        <v>0</v>
      </c>
    </row>
    <row r="129" spans="1:15" ht="13.5" customHeight="1" x14ac:dyDescent="0.2">
      <c r="A129" s="18" t="str">
        <f>'Consumo Médio - Clientes'!A126</f>
        <v>Aksis Empreendimentos e Particip LTDA</v>
      </c>
      <c r="B129" s="18">
        <f>'Consumo Médio - Clientes'!B126</f>
        <v>0</v>
      </c>
      <c r="C129" s="18">
        <f>'Consumo Médio - Clientes'!C126</f>
        <v>3014085351</v>
      </c>
      <c r="D129" s="37">
        <f>'Consumo Médio - Clientes'!AX126</f>
        <v>5400</v>
      </c>
      <c r="E129" s="38">
        <f t="shared" ref="E129:E130" si="42">F129/D129</f>
        <v>1.0002870370370371</v>
      </c>
      <c r="F129" s="37">
        <f t="shared" si="40"/>
        <v>5401.55</v>
      </c>
      <c r="G129" s="125">
        <f>'Consumo Médio - Clientes'!AY126</f>
        <v>0</v>
      </c>
      <c r="H129" s="95">
        <v>0</v>
      </c>
      <c r="I129" s="122">
        <v>1.15E-2</v>
      </c>
      <c r="J129" s="122">
        <v>0</v>
      </c>
      <c r="K129" s="122">
        <v>0</v>
      </c>
      <c r="L129" s="94">
        <v>0</v>
      </c>
      <c r="M129" s="122">
        <v>0</v>
      </c>
      <c r="N129" s="122">
        <v>0</v>
      </c>
      <c r="O129" s="122">
        <v>0</v>
      </c>
    </row>
    <row r="130" spans="1:15" ht="13.5" customHeight="1" x14ac:dyDescent="0.2">
      <c r="A130" s="18" t="str">
        <f>'Consumo Médio - Clientes'!A127</f>
        <v>Fabiano Augusto Neiva Dutra</v>
      </c>
      <c r="B130" s="18">
        <f>'Consumo Médio - Clientes'!B127</f>
        <v>7005765485</v>
      </c>
      <c r="C130" s="18">
        <f>'Consumo Médio - Clientes'!C127</f>
        <v>3010656684</v>
      </c>
      <c r="D130" s="37">
        <f>'Consumo Médio - Clientes'!AX127</f>
        <v>232</v>
      </c>
      <c r="E130" s="38">
        <f t="shared" si="42"/>
        <v>1.151508620689655</v>
      </c>
      <c r="F130" s="37">
        <f t="shared" si="40"/>
        <v>267.14999999999998</v>
      </c>
      <c r="G130" s="125">
        <f>'Consumo Médio - Clientes'!AY127</f>
        <v>0</v>
      </c>
      <c r="H130" s="95">
        <v>5.0000000000000001E-3</v>
      </c>
      <c r="I130" s="122">
        <v>0</v>
      </c>
      <c r="J130" s="122">
        <v>0</v>
      </c>
      <c r="K130" s="122">
        <v>0</v>
      </c>
      <c r="L130" s="94">
        <v>0</v>
      </c>
      <c r="M130" s="122">
        <v>0</v>
      </c>
      <c r="N130" s="122">
        <v>0</v>
      </c>
      <c r="O130" s="122">
        <v>0</v>
      </c>
    </row>
    <row r="131" spans="1:15" ht="13.5" customHeight="1" x14ac:dyDescent="0.2">
      <c r="A131" s="18" t="str">
        <f>'Consumo Médio - Clientes'!A128</f>
        <v>Morais G T A OS Odontologia</v>
      </c>
      <c r="B131" s="18">
        <f>'Consumo Médio - Clientes'!B128</f>
        <v>0</v>
      </c>
      <c r="C131" s="18">
        <f>'Consumo Médio - Clientes'!C128</f>
        <v>3013569380</v>
      </c>
      <c r="D131" s="37">
        <f>'Consumo Médio - Clientes'!AX128</f>
        <v>125</v>
      </c>
      <c r="E131" s="38">
        <f t="shared" ref="E131:E135" si="43">F131/D131</f>
        <v>0.85487999999999997</v>
      </c>
      <c r="F131" s="37">
        <f t="shared" ref="F131:F135" si="44">SUM(H131*$H$2,I131*$I$2,J131*$J$2,$K$2*K131,$L$2*L131,M131*$M$2,N131*$N$2,O131*$O$2)</f>
        <v>106.86</v>
      </c>
      <c r="G131" s="125">
        <f>'Consumo Médio - Clientes'!AY128</f>
        <v>100</v>
      </c>
      <c r="H131" s="95">
        <v>2E-3</v>
      </c>
      <c r="I131" s="122">
        <v>0</v>
      </c>
      <c r="J131" s="122">
        <v>0</v>
      </c>
      <c r="K131" s="94">
        <v>0</v>
      </c>
      <c r="L131" s="122">
        <v>0</v>
      </c>
      <c r="M131" s="122">
        <v>0</v>
      </c>
      <c r="N131" s="122">
        <v>0</v>
      </c>
      <c r="O131" s="122">
        <v>0</v>
      </c>
    </row>
    <row r="132" spans="1:15" ht="13.5" customHeight="1" x14ac:dyDescent="0.2">
      <c r="A132" s="18" t="str">
        <f>'Consumo Médio - Clientes'!A129</f>
        <v>Morais G T A OS Odontologia</v>
      </c>
      <c r="B132" s="18">
        <f>'Consumo Médio - Clientes'!B129</f>
        <v>0</v>
      </c>
      <c r="C132" s="18">
        <f>'Consumo Médio - Clientes'!C129</f>
        <v>3013569381</v>
      </c>
      <c r="D132" s="37">
        <f>'Consumo Médio - Clientes'!AX129</f>
        <v>551</v>
      </c>
      <c r="E132" s="38">
        <f t="shared" si="43"/>
        <v>0.87272232304900177</v>
      </c>
      <c r="F132" s="37">
        <f t="shared" si="44"/>
        <v>480.86999999999995</v>
      </c>
      <c r="G132" s="125">
        <f>'Consumo Médio - Clientes'!AY129</f>
        <v>0</v>
      </c>
      <c r="H132" s="95">
        <v>8.9999999999999993E-3</v>
      </c>
      <c r="I132" s="122">
        <v>0</v>
      </c>
      <c r="J132" s="122">
        <v>0</v>
      </c>
      <c r="K132" s="94">
        <v>0</v>
      </c>
      <c r="L132" s="122">
        <v>0</v>
      </c>
      <c r="M132" s="122">
        <v>0</v>
      </c>
      <c r="N132" s="122">
        <v>0</v>
      </c>
      <c r="O132" s="122">
        <v>0</v>
      </c>
    </row>
    <row r="133" spans="1:15" ht="13.5" customHeight="1" x14ac:dyDescent="0.2">
      <c r="A133" s="18" t="str">
        <f>'Consumo Médio - Clientes'!A130</f>
        <v>Mara Lúcia de Paiva</v>
      </c>
      <c r="B133" s="18">
        <f>'Consumo Médio - Clientes'!B130</f>
        <v>7004494126</v>
      </c>
      <c r="C133" s="18">
        <f>'Consumo Médio - Clientes'!C130</f>
        <v>3004836151</v>
      </c>
      <c r="D133" s="37">
        <f>'Consumo Médio - Clientes'!AX130</f>
        <v>106</v>
      </c>
      <c r="E133" s="38">
        <f t="shared" si="43"/>
        <v>1.0081132075471697</v>
      </c>
      <c r="F133" s="37">
        <f t="shared" si="44"/>
        <v>106.86</v>
      </c>
      <c r="G133" s="125">
        <f>'Consumo Médio - Clientes'!AY130</f>
        <v>61</v>
      </c>
      <c r="H133" s="95">
        <v>2E-3</v>
      </c>
      <c r="I133" s="122">
        <v>0</v>
      </c>
      <c r="J133" s="122">
        <v>0</v>
      </c>
      <c r="K133" s="94">
        <v>0</v>
      </c>
      <c r="L133" s="122">
        <v>0</v>
      </c>
      <c r="M133" s="122">
        <v>0</v>
      </c>
      <c r="N133" s="122">
        <v>0</v>
      </c>
      <c r="O133" s="122">
        <v>0</v>
      </c>
    </row>
    <row r="134" spans="1:15" ht="13.5" customHeight="1" x14ac:dyDescent="0.2">
      <c r="A134" s="18" t="str">
        <f>'Consumo Médio - Clientes'!A131</f>
        <v xml:space="preserve">Eliana Rocha de Paula </v>
      </c>
      <c r="B134" s="18">
        <f>'Consumo Médio - Clientes'!B131</f>
        <v>0</v>
      </c>
      <c r="C134" s="18">
        <f>'Consumo Médio - Clientes'!C131</f>
        <v>3004321665</v>
      </c>
      <c r="D134" s="37">
        <f>'Consumo Médio - Clientes'!AX131</f>
        <v>356</v>
      </c>
      <c r="E134" s="38">
        <f t="shared" si="43"/>
        <v>1.0505898876404494</v>
      </c>
      <c r="F134" s="37">
        <f t="shared" si="44"/>
        <v>374.01</v>
      </c>
      <c r="G134" s="125">
        <f>'Consumo Médio - Clientes'!AY131</f>
        <v>209</v>
      </c>
      <c r="H134" s="39">
        <v>7.0000000000000001E-3</v>
      </c>
      <c r="I134" s="122">
        <v>0</v>
      </c>
      <c r="J134" s="122">
        <v>0</v>
      </c>
      <c r="K134" s="122">
        <v>0</v>
      </c>
      <c r="L134" s="94">
        <v>0</v>
      </c>
      <c r="M134" s="122">
        <v>0</v>
      </c>
      <c r="N134" s="122">
        <v>0</v>
      </c>
      <c r="O134" s="122">
        <v>0</v>
      </c>
    </row>
    <row r="135" spans="1:15" ht="13.5" customHeight="1" x14ac:dyDescent="0.2">
      <c r="A135" s="18" t="str">
        <f>'Consumo Médio - Clientes'!A132</f>
        <v>FCC Comércio</v>
      </c>
      <c r="B135" s="18">
        <f>'Consumo Médio - Clientes'!B132</f>
        <v>7202660951</v>
      </c>
      <c r="C135" s="18">
        <f>'Consumo Médio - Clientes'!C132</f>
        <v>3003060564</v>
      </c>
      <c r="D135" s="37">
        <f>'Consumo Médio - Clientes'!AX132</f>
        <v>4047</v>
      </c>
      <c r="E135" s="38">
        <f t="shared" si="43"/>
        <v>0.65233506300963673</v>
      </c>
      <c r="F135" s="37">
        <f t="shared" si="44"/>
        <v>2640</v>
      </c>
      <c r="G135" s="125">
        <f>'Consumo Médio - Clientes'!AY132</f>
        <v>7212</v>
      </c>
      <c r="H135" s="39">
        <v>0</v>
      </c>
      <c r="I135" s="122">
        <v>0</v>
      </c>
      <c r="J135" s="122">
        <v>0</v>
      </c>
      <c r="K135" s="122">
        <v>0</v>
      </c>
      <c r="L135" s="94">
        <v>0.22</v>
      </c>
      <c r="M135" s="122">
        <v>0</v>
      </c>
      <c r="N135" s="122">
        <v>0</v>
      </c>
      <c r="O135" s="122">
        <v>0</v>
      </c>
    </row>
    <row r="136" spans="1:15" ht="13.5" customHeight="1" x14ac:dyDescent="0.2">
      <c r="A136" s="18" t="str">
        <f>'Consumo Médio - Clientes'!A133</f>
        <v>Minas Mais Laticinios</v>
      </c>
      <c r="B136" s="18">
        <f>'Consumo Médio - Clientes'!B133</f>
        <v>7200212644</v>
      </c>
      <c r="C136" s="18">
        <f>'Consumo Médio - Clientes'!C133</f>
        <v>3013533951</v>
      </c>
      <c r="D136" s="37">
        <f>'Consumo Médio - Clientes'!AX133</f>
        <v>43066.666666666664</v>
      </c>
      <c r="E136" s="38">
        <f t="shared" ref="E136:E141" si="45">F136/D136</f>
        <v>1.1451664086687308</v>
      </c>
      <c r="F136" s="37">
        <f t="shared" ref="F136:F141" si="46">SUM(H136*$H$2,I136*$I$2,J136*$J$2,$K$2*K136,$L$2*L136,M136*$M$2,N136*$N$2,O136*$O$2)</f>
        <v>49318.5</v>
      </c>
      <c r="G136" s="125">
        <f>'Consumo Médio - Clientes'!AY133</f>
        <v>0</v>
      </c>
      <c r="H136" s="95">
        <v>0</v>
      </c>
      <c r="I136" s="122">
        <v>0.105</v>
      </c>
      <c r="J136" s="122">
        <v>0</v>
      </c>
      <c r="K136" s="122">
        <v>0</v>
      </c>
      <c r="L136" s="122">
        <v>0</v>
      </c>
      <c r="M136" s="122">
        <v>0</v>
      </c>
      <c r="N136" s="122">
        <v>0</v>
      </c>
      <c r="O136" s="122">
        <v>0</v>
      </c>
    </row>
    <row r="137" spans="1:15" ht="13.5" customHeight="1" x14ac:dyDescent="0.2">
      <c r="A137" s="18" t="str">
        <f>'Consumo Médio - Clientes'!A134</f>
        <v>Marcia Aparecida Bragato</v>
      </c>
      <c r="B137" s="18">
        <f>'Consumo Médio - Clientes'!B134</f>
        <v>0</v>
      </c>
      <c r="C137" s="18">
        <f>'Consumo Médio - Clientes'!C134</f>
        <v>3011906120</v>
      </c>
      <c r="D137" s="37">
        <f>'Consumo Médio - Clientes'!AX134</f>
        <v>223</v>
      </c>
      <c r="E137" s="38">
        <f t="shared" si="45"/>
        <v>1.1979820627802689</v>
      </c>
      <c r="F137" s="37">
        <f t="shared" si="46"/>
        <v>267.14999999999998</v>
      </c>
      <c r="G137" s="125">
        <f>'Consumo Médio - Clientes'!AY134</f>
        <v>0</v>
      </c>
      <c r="H137" s="95">
        <v>5.0000000000000001E-3</v>
      </c>
      <c r="I137" s="122">
        <v>0</v>
      </c>
      <c r="J137" s="122">
        <v>0</v>
      </c>
      <c r="K137" s="122">
        <v>0</v>
      </c>
      <c r="L137" s="122">
        <v>0</v>
      </c>
      <c r="M137" s="122">
        <v>0</v>
      </c>
      <c r="N137" s="122">
        <v>0</v>
      </c>
      <c r="O137" s="122">
        <v>0</v>
      </c>
    </row>
    <row r="138" spans="1:15" ht="13.5" customHeight="1" x14ac:dyDescent="0.2">
      <c r="A138" s="18" t="str">
        <f>'Consumo Médio - Clientes'!A135</f>
        <v>Wilson dos Santos Gouveia</v>
      </c>
      <c r="B138" s="18">
        <f>'Consumo Médio - Clientes'!B135</f>
        <v>7008368328</v>
      </c>
      <c r="C138" s="18">
        <f>'Consumo Médio - Clientes'!C135</f>
        <v>3006772079</v>
      </c>
      <c r="D138" s="37">
        <f>'Consumo Médio - Clientes'!AX135</f>
        <v>192</v>
      </c>
      <c r="E138" s="38">
        <f t="shared" si="45"/>
        <v>1.1131249999999999</v>
      </c>
      <c r="F138" s="37">
        <f t="shared" si="46"/>
        <v>213.72</v>
      </c>
      <c r="G138" s="125">
        <f>'Consumo Médio - Clientes'!AY135</f>
        <v>0</v>
      </c>
      <c r="H138" s="95">
        <v>4.0000000000000001E-3</v>
      </c>
      <c r="I138" s="122">
        <v>0</v>
      </c>
      <c r="J138" s="122">
        <v>0</v>
      </c>
      <c r="K138" s="122">
        <v>0</v>
      </c>
      <c r="L138" s="122">
        <v>0</v>
      </c>
      <c r="M138" s="122">
        <v>0</v>
      </c>
      <c r="N138" s="122">
        <v>0</v>
      </c>
      <c r="O138" s="122">
        <v>0</v>
      </c>
    </row>
    <row r="139" spans="1:15" ht="13.5" customHeight="1" x14ac:dyDescent="0.2">
      <c r="A139" s="18" t="str">
        <f>'Consumo Médio - Clientes'!A136</f>
        <v>Village Comercial LTDA (INATIVO)</v>
      </c>
      <c r="B139" s="18">
        <f>'Consumo Médio - Clientes'!B136</f>
        <v>7005582454</v>
      </c>
      <c r="C139" s="18">
        <f>'Consumo Médio - Clientes'!C136</f>
        <v>3005871490</v>
      </c>
      <c r="D139" s="37">
        <f>'Consumo Médio - Clientes'!AX136</f>
        <v>4500</v>
      </c>
      <c r="E139" s="38">
        <f t="shared" si="45"/>
        <v>0</v>
      </c>
      <c r="F139" s="37">
        <f t="shared" si="46"/>
        <v>0</v>
      </c>
      <c r="G139" s="125">
        <f>'Consumo Médio - Clientes'!AY136</f>
        <v>0</v>
      </c>
      <c r="H139" s="95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</row>
    <row r="140" spans="1:15" ht="13.5" customHeight="1" x14ac:dyDescent="0.2">
      <c r="A140" s="18" t="str">
        <f>'Consumo Médio - Clientes'!A137</f>
        <v>Thermon Indústria Mecânica Ltda</v>
      </c>
      <c r="B140" s="18">
        <f>'Consumo Médio - Clientes'!B137</f>
        <v>0</v>
      </c>
      <c r="C140" s="18">
        <f>'Consumo Médio - Clientes'!C137</f>
        <v>3011399025</v>
      </c>
      <c r="D140" s="37">
        <f>'Consumo Médio - Clientes'!AX137</f>
        <v>5384.666666666667</v>
      </c>
      <c r="E140" s="38">
        <f t="shared" si="45"/>
        <v>1.3084375386901077</v>
      </c>
      <c r="F140" s="37">
        <f t="shared" si="46"/>
        <v>7045.5</v>
      </c>
      <c r="G140" s="125">
        <f>'Consumo Médio - Clientes'!AY137</f>
        <v>0</v>
      </c>
      <c r="H140" s="95">
        <v>0</v>
      </c>
      <c r="I140" s="122">
        <v>1.4999999999999999E-2</v>
      </c>
      <c r="J140" s="122">
        <v>0</v>
      </c>
      <c r="K140" s="122">
        <v>0</v>
      </c>
      <c r="L140" s="122">
        <v>0</v>
      </c>
      <c r="M140" s="122">
        <v>0</v>
      </c>
      <c r="N140" s="122">
        <v>0</v>
      </c>
      <c r="O140" s="122">
        <v>0</v>
      </c>
    </row>
    <row r="141" spans="1:15" ht="13.5" customHeight="1" x14ac:dyDescent="0.2">
      <c r="A141" s="18" t="str">
        <f>'Consumo Médio - Clientes'!A138</f>
        <v>Thermon Indústria Mecânica Ltda</v>
      </c>
      <c r="B141" s="18">
        <f>'Consumo Médio - Clientes'!B138</f>
        <v>0</v>
      </c>
      <c r="C141" s="18">
        <f>'Consumo Médio - Clientes'!C138</f>
        <v>3011476818</v>
      </c>
      <c r="D141" s="37">
        <f>'Consumo Médio - Clientes'!AX138</f>
        <v>19516</v>
      </c>
      <c r="E141" s="38">
        <f t="shared" si="45"/>
        <v>0.7220229555236729</v>
      </c>
      <c r="F141" s="37">
        <f t="shared" si="46"/>
        <v>14091</v>
      </c>
      <c r="G141" s="125">
        <f>'Consumo Médio - Clientes'!AY138</f>
        <v>0</v>
      </c>
      <c r="H141" s="95">
        <v>0</v>
      </c>
      <c r="I141" s="122">
        <v>0.03</v>
      </c>
      <c r="J141" s="122">
        <v>0</v>
      </c>
      <c r="K141" s="122">
        <v>0</v>
      </c>
      <c r="L141" s="122">
        <v>0</v>
      </c>
      <c r="M141" s="122">
        <v>0</v>
      </c>
      <c r="N141" s="122">
        <v>0</v>
      </c>
      <c r="O141" s="122">
        <v>0</v>
      </c>
    </row>
    <row r="142" spans="1:15" ht="13.5" customHeight="1" x14ac:dyDescent="0.2">
      <c r="A142" s="18" t="str">
        <f>'Consumo Médio - Clientes'!A139</f>
        <v>Thermon Indústria Mecânica Ltda</v>
      </c>
      <c r="B142" s="18">
        <f>'Consumo Médio - Clientes'!B139</f>
        <v>0</v>
      </c>
      <c r="C142" s="18">
        <f>'Consumo Médio - Clientes'!C139</f>
        <v>3012226374</v>
      </c>
      <c r="D142" s="37">
        <f>'Consumo Médio - Clientes'!AX139</f>
        <v>32200</v>
      </c>
      <c r="E142" s="38">
        <f t="shared" ref="E142:E143" si="47">F142/D142</f>
        <v>1.0794347826086954</v>
      </c>
      <c r="F142" s="37">
        <f t="shared" ref="F142:F143" si="48">SUM(H142*$H$2,I142*$I$2,J142*$J$2,$K$2*K142,$L$2*L142,M142*$M$2,N142*$N$2,O142*$O$2)</f>
        <v>34757.799999999996</v>
      </c>
      <c r="G142" s="125">
        <f>'Consumo Médio - Clientes'!AY139</f>
        <v>0</v>
      </c>
      <c r="H142" s="95">
        <v>0</v>
      </c>
      <c r="I142" s="122">
        <v>7.3999999999999996E-2</v>
      </c>
      <c r="J142" s="122">
        <v>0</v>
      </c>
      <c r="K142" s="122">
        <v>0</v>
      </c>
      <c r="L142" s="122">
        <v>0</v>
      </c>
      <c r="M142" s="122">
        <v>0</v>
      </c>
      <c r="N142" s="122">
        <v>0</v>
      </c>
      <c r="O142" s="122">
        <v>0</v>
      </c>
    </row>
    <row r="143" spans="1:15" ht="13.5" customHeight="1" x14ac:dyDescent="0.2">
      <c r="A143" s="18" t="str">
        <f>'Consumo Médio - Clientes'!A140</f>
        <v>Roberta Castro Lage</v>
      </c>
      <c r="B143" s="18">
        <f>'Consumo Médio - Clientes'!B140</f>
        <v>0</v>
      </c>
      <c r="C143" s="18">
        <f>'Consumo Médio - Clientes'!C140</f>
        <v>3002248597</v>
      </c>
      <c r="D143" s="37">
        <f>'Consumo Médio - Clientes'!AX140</f>
        <v>267</v>
      </c>
      <c r="E143" s="38">
        <f t="shared" si="47"/>
        <v>1.000561797752809</v>
      </c>
      <c r="F143" s="37">
        <f t="shared" si="48"/>
        <v>267.14999999999998</v>
      </c>
      <c r="G143" s="125">
        <f>'Consumo Médio - Clientes'!AY140</f>
        <v>0</v>
      </c>
      <c r="H143" s="95">
        <v>5.0000000000000001E-3</v>
      </c>
      <c r="I143" s="122">
        <v>0</v>
      </c>
      <c r="J143" s="122">
        <v>0</v>
      </c>
      <c r="K143" s="122">
        <v>0</v>
      </c>
      <c r="L143" s="122">
        <v>0</v>
      </c>
      <c r="M143" s="122">
        <v>0</v>
      </c>
      <c r="N143" s="122">
        <v>0</v>
      </c>
      <c r="O143" s="122">
        <v>0</v>
      </c>
    </row>
    <row r="144" spans="1:15" ht="13.5" customHeight="1" x14ac:dyDescent="0.2">
      <c r="A144" s="18" t="str">
        <f>'Consumo Médio - Clientes'!A141</f>
        <v>Whashington Luiz Marques Rodrigues</v>
      </c>
      <c r="B144" s="18">
        <f>'Consumo Médio - Clientes'!B141</f>
        <v>0</v>
      </c>
      <c r="C144" s="18">
        <f>'Consumo Médio - Clientes'!C141</f>
        <v>3012777988</v>
      </c>
      <c r="D144" s="37">
        <f>'Consumo Médio - Clientes'!AX141</f>
        <v>223.33333333333334</v>
      </c>
      <c r="E144" s="38">
        <f t="shared" ref="E144:E145" si="49">F144/D144</f>
        <v>0.95695522388059695</v>
      </c>
      <c r="F144" s="37">
        <f t="shared" ref="F144:F145" si="50">SUM(H144*$H$2,I144*$I$2,J144*$J$2,$K$2*K144,$L$2*L144,M144*$M$2,N144*$N$2,O144*$O$2)</f>
        <v>213.72</v>
      </c>
      <c r="G144" s="125">
        <f>'Consumo Médio - Clientes'!AY141</f>
        <v>0</v>
      </c>
      <c r="H144" s="95">
        <v>4.0000000000000001E-3</v>
      </c>
      <c r="I144" s="122">
        <v>0</v>
      </c>
      <c r="J144" s="122">
        <v>0</v>
      </c>
      <c r="K144" s="122">
        <v>0</v>
      </c>
      <c r="L144" s="122">
        <v>0</v>
      </c>
      <c r="M144" s="122">
        <v>0</v>
      </c>
      <c r="N144" s="122">
        <v>0</v>
      </c>
      <c r="O144" s="122">
        <v>0</v>
      </c>
    </row>
    <row r="145" spans="1:15" ht="13.5" customHeight="1" x14ac:dyDescent="0.2">
      <c r="A145" s="18" t="str">
        <f>'Consumo Médio - Clientes'!A142</f>
        <v>Wilton da Silva Pereira</v>
      </c>
      <c r="B145" s="18">
        <f>'Consumo Médio - Clientes'!B142</f>
        <v>0</v>
      </c>
      <c r="C145" s="18">
        <f>'Consumo Médio - Clientes'!C142</f>
        <v>3011041630</v>
      </c>
      <c r="D145" s="37">
        <f>'Consumo Médio - Clientes'!AX142</f>
        <v>279.66666666666669</v>
      </c>
      <c r="E145" s="38">
        <f t="shared" si="49"/>
        <v>0.955244338498212</v>
      </c>
      <c r="F145" s="37">
        <f t="shared" si="50"/>
        <v>267.14999999999998</v>
      </c>
      <c r="G145" s="125">
        <f>'Consumo Médio - Clientes'!AY142</f>
        <v>0</v>
      </c>
      <c r="H145" s="95">
        <v>5.0000000000000001E-3</v>
      </c>
      <c r="I145" s="122">
        <v>0</v>
      </c>
      <c r="J145" s="122">
        <v>0</v>
      </c>
      <c r="K145" s="122">
        <v>0</v>
      </c>
      <c r="L145" s="122">
        <v>0</v>
      </c>
      <c r="M145" s="122">
        <v>0</v>
      </c>
      <c r="N145" s="122">
        <v>0</v>
      </c>
      <c r="O145" s="122">
        <v>0</v>
      </c>
    </row>
    <row r="146" spans="1:15" ht="13.5" customHeight="1" x14ac:dyDescent="0.2">
      <c r="A146" s="18" t="str">
        <f>'Consumo Médio - Clientes'!A143</f>
        <v xml:space="preserve"> Juliane Aparecida Melo Felisberto</v>
      </c>
      <c r="B146" s="18">
        <f>'Consumo Médio - Clientes'!B143</f>
        <v>0</v>
      </c>
      <c r="C146" s="18">
        <f>'Consumo Médio - Clientes'!C143</f>
        <v>3013651413</v>
      </c>
      <c r="D146" s="37">
        <f>'Consumo Médio - Clientes'!AX143</f>
        <v>132</v>
      </c>
      <c r="E146" s="38">
        <f t="shared" ref="E146" si="51">F146/D146</f>
        <v>0.80954545454545457</v>
      </c>
      <c r="F146" s="37">
        <f t="shared" ref="F146" si="52">SUM(H146*$H$2,I146*$I$2,J146*$J$2,$K$2*K146,$L$2*L146,M146*$M$2,N146*$N$2,O146*$O$2)</f>
        <v>106.86</v>
      </c>
      <c r="G146" s="125">
        <f>'Consumo Médio - Clientes'!AY143</f>
        <v>0</v>
      </c>
      <c r="H146" s="95">
        <v>2E-3</v>
      </c>
      <c r="I146" s="122">
        <v>0</v>
      </c>
      <c r="J146" s="122">
        <v>0</v>
      </c>
      <c r="K146" s="122">
        <v>0</v>
      </c>
      <c r="L146" s="122">
        <v>0</v>
      </c>
      <c r="M146" s="122">
        <v>0</v>
      </c>
      <c r="N146" s="122">
        <v>0</v>
      </c>
      <c r="O146" s="122">
        <v>0</v>
      </c>
    </row>
    <row r="147" spans="1:15" ht="13.5" customHeight="1" x14ac:dyDescent="0.2">
      <c r="A147" s="18" t="str">
        <f>'Consumo Médio - Clientes'!A144</f>
        <v>Usina Ambiental Ltda</v>
      </c>
      <c r="B147" s="18">
        <f>'Consumo Médio - Clientes'!B144</f>
        <v>0</v>
      </c>
      <c r="C147" s="18">
        <f>'Consumo Médio - Clientes'!C144</f>
        <v>3009017381</v>
      </c>
      <c r="D147" s="37">
        <f>'Consumo Médio - Clientes'!AX144</f>
        <v>2500</v>
      </c>
      <c r="E147" s="38">
        <f t="shared" ref="E147:E149" si="53">F147/D147</f>
        <v>1.0333399999999999</v>
      </c>
      <c r="F147" s="37">
        <f t="shared" ref="F147:F149" si="54">SUM(H147*$H$2,I147*$I$2,J147*$J$2,$K$2*K147,$L$2*L147,M147*$M$2,N147*$N$2,O147*$O$2)</f>
        <v>2583.35</v>
      </c>
      <c r="G147" s="125">
        <f>'Consumo Médio - Clientes'!AY144</f>
        <v>0</v>
      </c>
      <c r="H147" s="95">
        <v>0</v>
      </c>
      <c r="I147" s="122">
        <v>5.4999999999999997E-3</v>
      </c>
      <c r="J147" s="122">
        <v>0</v>
      </c>
      <c r="K147" s="122">
        <v>0</v>
      </c>
      <c r="L147" s="122">
        <v>0</v>
      </c>
      <c r="M147" s="122">
        <v>0</v>
      </c>
      <c r="N147" s="122">
        <v>0</v>
      </c>
      <c r="O147" s="122">
        <v>0</v>
      </c>
    </row>
    <row r="148" spans="1:15" ht="13.5" customHeight="1" x14ac:dyDescent="0.2">
      <c r="A148" s="18" t="str">
        <f>'Consumo Médio - Clientes'!A145</f>
        <v>Wanderson Pires do Amaral (INATIVO)</v>
      </c>
      <c r="B148" s="18">
        <f>'Consumo Médio - Clientes'!B145</f>
        <v>0</v>
      </c>
      <c r="C148" s="18">
        <f>'Consumo Médio - Clientes'!C145</f>
        <v>3013409713</v>
      </c>
      <c r="D148" s="37">
        <f>'Consumo Médio - Clientes'!AX145</f>
        <v>4357.333333333333</v>
      </c>
      <c r="E148" s="38">
        <f t="shared" si="53"/>
        <v>0</v>
      </c>
      <c r="F148" s="37">
        <f t="shared" si="54"/>
        <v>0</v>
      </c>
      <c r="G148" s="125">
        <f>'Consumo Médio - Clientes'!AY145</f>
        <v>0</v>
      </c>
      <c r="H148" s="95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</row>
    <row r="149" spans="1:15" ht="13.5" customHeight="1" x14ac:dyDescent="0.2">
      <c r="A149" s="18" t="str">
        <f>'Consumo Médio - Clientes'!A146</f>
        <v>Andre Luiz Cota</v>
      </c>
      <c r="B149" s="18">
        <f>'Consumo Médio - Clientes'!B146</f>
        <v>0</v>
      </c>
      <c r="C149" s="18">
        <f>'Consumo Médio - Clientes'!C146</f>
        <v>3012128688</v>
      </c>
      <c r="D149" s="37">
        <f>'Consumo Médio - Clientes'!AX146</f>
        <v>177.33333333333334</v>
      </c>
      <c r="E149" s="38">
        <f t="shared" si="53"/>
        <v>0.90389097744360891</v>
      </c>
      <c r="F149" s="37">
        <f t="shared" si="54"/>
        <v>160.29</v>
      </c>
      <c r="G149" s="125">
        <f>'Consumo Médio - Clientes'!AY146</f>
        <v>0</v>
      </c>
      <c r="H149" s="95">
        <v>3.0000000000000001E-3</v>
      </c>
      <c r="I149" s="122">
        <v>0</v>
      </c>
      <c r="J149" s="122">
        <v>0</v>
      </c>
      <c r="K149" s="122">
        <v>0</v>
      </c>
      <c r="L149" s="122">
        <v>0</v>
      </c>
      <c r="M149" s="122">
        <v>0</v>
      </c>
      <c r="N149" s="122">
        <v>0</v>
      </c>
      <c r="O149" s="122">
        <v>0</v>
      </c>
    </row>
    <row r="150" spans="1:15" ht="13.5" customHeight="1" x14ac:dyDescent="0.2">
      <c r="A150" s="18" t="str">
        <f>'Consumo Médio - Clientes'!A147</f>
        <v>USI Vale Ind.Mecanica LTDA</v>
      </c>
      <c r="B150" s="18">
        <f>'Consumo Médio - Clientes'!B147</f>
        <v>0</v>
      </c>
      <c r="C150" s="18">
        <f>'Consumo Médio - Clientes'!C147</f>
        <v>3009014977</v>
      </c>
      <c r="D150" s="37">
        <f>'Consumo Médio - Clientes'!AX147</f>
        <v>11000</v>
      </c>
      <c r="E150" s="38">
        <f t="shared" ref="E150:E152" si="55">F150/D150</f>
        <v>1.1529</v>
      </c>
      <c r="F150" s="37">
        <f t="shared" ref="F150:F152" si="56">SUM(H150*$H$2,I150*$I$2,J150*$J$2,$K$2*K150,$L$2*L150,M150*$M$2,N150*$N$2,O150*$O$2)</f>
        <v>12681.9</v>
      </c>
      <c r="G150" s="125">
        <f>'Consumo Médio - Clientes'!AY147</f>
        <v>0</v>
      </c>
      <c r="H150" s="95">
        <v>0</v>
      </c>
      <c r="I150" s="122">
        <v>2.7E-2</v>
      </c>
      <c r="J150" s="122">
        <v>0</v>
      </c>
      <c r="K150" s="122">
        <v>0</v>
      </c>
      <c r="L150" s="122">
        <v>0</v>
      </c>
      <c r="M150" s="122">
        <v>0</v>
      </c>
      <c r="N150" s="122">
        <v>0</v>
      </c>
      <c r="O150" s="122">
        <v>0</v>
      </c>
    </row>
    <row r="151" spans="1:15" ht="13.5" customHeight="1" x14ac:dyDescent="0.2">
      <c r="A151" s="18" t="str">
        <f>'Consumo Médio - Clientes'!A148</f>
        <v xml:space="preserve"> Edificio Medical Center</v>
      </c>
      <c r="B151" s="18">
        <f>'Consumo Médio - Clientes'!B148</f>
        <v>7010471722</v>
      </c>
      <c r="C151" s="18">
        <f>'Consumo Médio - Clientes'!C148</f>
        <v>3010337237</v>
      </c>
      <c r="D151" s="37">
        <f>'Consumo Médio - Clientes'!AX148</f>
        <v>733.66666666666663</v>
      </c>
      <c r="E151" s="38">
        <f t="shared" si="55"/>
        <v>1.1449341208541575</v>
      </c>
      <c r="F151" s="37">
        <f t="shared" si="56"/>
        <v>840.00000000000011</v>
      </c>
      <c r="G151" s="125">
        <f>'Consumo Médio - Clientes'!AY148</f>
        <v>0</v>
      </c>
      <c r="H151" s="95">
        <v>0</v>
      </c>
      <c r="I151" s="122">
        <v>0</v>
      </c>
      <c r="J151" s="122">
        <v>0</v>
      </c>
      <c r="K151" s="122">
        <v>0</v>
      </c>
      <c r="L151" s="122">
        <v>7.0000000000000007E-2</v>
      </c>
      <c r="M151" s="122">
        <v>0</v>
      </c>
      <c r="N151" s="122">
        <v>0</v>
      </c>
      <c r="O151" s="122">
        <v>0</v>
      </c>
    </row>
    <row r="152" spans="1:15" ht="13.5" customHeight="1" x14ac:dyDescent="0.2">
      <c r="A152" s="18" t="str">
        <f>'Consumo Médio - Clientes'!A149</f>
        <v>DL Comercio e Serviços</v>
      </c>
      <c r="B152" s="18">
        <f>'Consumo Médio - Clientes'!B149</f>
        <v>7002993295</v>
      </c>
      <c r="C152" s="18">
        <f>'Consumo Médio - Clientes'!C149</f>
        <v>3007080540</v>
      </c>
      <c r="D152" s="37">
        <f>'Consumo Médio - Clientes'!AX149</f>
        <v>1766.6666666666667</v>
      </c>
      <c r="E152" s="38">
        <f t="shared" si="55"/>
        <v>1.0634716981132075</v>
      </c>
      <c r="F152" s="37">
        <f t="shared" si="56"/>
        <v>1878.8</v>
      </c>
      <c r="G152" s="125">
        <f>'Consumo Médio - Clientes'!AY149</f>
        <v>0</v>
      </c>
      <c r="H152" s="95">
        <v>0</v>
      </c>
      <c r="I152" s="122">
        <v>4.0000000000000001E-3</v>
      </c>
      <c r="J152" s="122">
        <v>0</v>
      </c>
      <c r="K152" s="122">
        <v>0</v>
      </c>
      <c r="L152" s="122">
        <v>0</v>
      </c>
      <c r="M152" s="122">
        <v>0</v>
      </c>
      <c r="N152" s="122">
        <v>0</v>
      </c>
      <c r="O152" s="122">
        <v>0</v>
      </c>
    </row>
    <row r="153" spans="1:15" ht="13.5" customHeight="1" x14ac:dyDescent="0.2">
      <c r="A153" s="18" t="str">
        <f>'Consumo Médio - Clientes'!A150</f>
        <v>Alvimar Pereira Matos</v>
      </c>
      <c r="B153" s="18">
        <f>'Consumo Médio - Clientes'!B150</f>
        <v>7002475705</v>
      </c>
      <c r="C153" s="18">
        <f>'Consumo Médio - Clientes'!C150</f>
        <v>3006524917</v>
      </c>
      <c r="D153" s="37">
        <f>'Consumo Médio - Clientes'!AX150</f>
        <v>1860.3333333333333</v>
      </c>
      <c r="E153" s="38">
        <f t="shared" ref="E153:E155" si="57">F153/D153</f>
        <v>1.0965776742519264</v>
      </c>
      <c r="F153" s="37">
        <f t="shared" ref="F153:F155" si="58">SUM(H153*$H$2,I153*$I$2,J153*$J$2,$K$2*K153,$L$2*L153,M153*$M$2,N153*$N$2,O153*$O$2)</f>
        <v>2040.0000000000002</v>
      </c>
      <c r="G153" s="125">
        <f>'Consumo Médio - Clientes'!AY150</f>
        <v>0</v>
      </c>
      <c r="H153" s="95">
        <v>0</v>
      </c>
      <c r="I153" s="122">
        <v>0</v>
      </c>
      <c r="J153" s="122">
        <v>0</v>
      </c>
      <c r="K153" s="122">
        <v>0</v>
      </c>
      <c r="L153" s="122">
        <v>0.17</v>
      </c>
      <c r="M153" s="122">
        <v>0</v>
      </c>
      <c r="N153" s="122">
        <v>0</v>
      </c>
      <c r="O153" s="122">
        <v>0</v>
      </c>
    </row>
    <row r="154" spans="1:15" ht="13.5" customHeight="1" x14ac:dyDescent="0.2">
      <c r="A154" s="18" t="str">
        <f>'Consumo Médio - Clientes'!A151</f>
        <v>Edifício Residencial Florenca</v>
      </c>
      <c r="B154" s="18">
        <f>'Consumo Médio - Clientes'!B151</f>
        <v>7005577693</v>
      </c>
      <c r="C154" s="18">
        <f>'Consumo Médio - Clientes'!C151</f>
        <v>3004075514</v>
      </c>
      <c r="D154" s="37">
        <f>'Consumo Médio - Clientes'!AX151</f>
        <v>1212.6666666666667</v>
      </c>
      <c r="E154" s="38">
        <f t="shared" si="57"/>
        <v>0.96931830676195707</v>
      </c>
      <c r="F154" s="37">
        <f t="shared" si="58"/>
        <v>1175.46</v>
      </c>
      <c r="G154" s="125">
        <f>'Consumo Médio - Clientes'!AY151</f>
        <v>0</v>
      </c>
      <c r="H154" s="95">
        <v>2.1999999999999999E-2</v>
      </c>
      <c r="I154" s="122">
        <v>0</v>
      </c>
      <c r="J154" s="122">
        <v>0</v>
      </c>
      <c r="K154" s="122">
        <v>0</v>
      </c>
      <c r="L154" s="122">
        <v>0</v>
      </c>
      <c r="M154" s="122">
        <v>0</v>
      </c>
      <c r="N154" s="122">
        <v>0</v>
      </c>
      <c r="O154" s="122">
        <v>0</v>
      </c>
    </row>
    <row r="155" spans="1:15" ht="13.5" customHeight="1" x14ac:dyDescent="0.2">
      <c r="A155" s="18" t="str">
        <f>'Consumo Médio - Clientes'!A152</f>
        <v>Fernando Caus da Silva</v>
      </c>
      <c r="B155" s="18">
        <f>'Consumo Médio - Clientes'!B152</f>
        <v>7202014700</v>
      </c>
      <c r="C155" s="18">
        <f>'Consumo Médio - Clientes'!C152</f>
        <v>3010872725</v>
      </c>
      <c r="D155" s="37">
        <f>'Consumo Médio - Clientes'!AX152</f>
        <v>565</v>
      </c>
      <c r="E155" s="38">
        <f t="shared" si="57"/>
        <v>0.94566371681415917</v>
      </c>
      <c r="F155" s="37">
        <f t="shared" si="58"/>
        <v>534.29999999999995</v>
      </c>
      <c r="G155" s="125">
        <f>'Consumo Médio - Clientes'!AY152</f>
        <v>0</v>
      </c>
      <c r="H155" s="95">
        <v>0.01</v>
      </c>
      <c r="I155" s="122">
        <v>0</v>
      </c>
      <c r="J155" s="122">
        <v>0</v>
      </c>
      <c r="K155" s="122">
        <v>0</v>
      </c>
      <c r="L155" s="122">
        <v>0</v>
      </c>
      <c r="M155" s="122">
        <v>0</v>
      </c>
      <c r="N155" s="122">
        <v>0</v>
      </c>
      <c r="O155" s="122">
        <v>0</v>
      </c>
    </row>
    <row r="156" spans="1:15" ht="13.5" customHeight="1" x14ac:dyDescent="0.2">
      <c r="A156" s="18" t="str">
        <f>'Consumo Médio - Clientes'!A153</f>
        <v>Valcilene Fernandes Gomes de Oliveira</v>
      </c>
      <c r="B156" s="18">
        <f>'Consumo Médio - Clientes'!B153</f>
        <v>7008987333</v>
      </c>
      <c r="C156" s="18">
        <f>'Consumo Médio - Clientes'!C153</f>
        <v>3011065746</v>
      </c>
      <c r="D156" s="37">
        <f>'Consumo Médio - Clientes'!AX153</f>
        <v>540.66666666666663</v>
      </c>
      <c r="E156" s="38">
        <f t="shared" ref="E156:E157" si="59">F156/D156</f>
        <v>0.98822441430332919</v>
      </c>
      <c r="F156" s="37">
        <f t="shared" ref="F156:F157" si="60">SUM(H156*$H$2,I156*$I$2,J156*$J$2,$K$2*K156,$L$2*L156,M156*$M$2,N156*$N$2,O156*$O$2)</f>
        <v>534.29999999999995</v>
      </c>
      <c r="G156" s="125">
        <f>'Consumo Médio - Clientes'!AY153</f>
        <v>0</v>
      </c>
      <c r="H156" s="95">
        <v>0.01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</row>
    <row r="157" spans="1:15" ht="13.5" customHeight="1" x14ac:dyDescent="0.2">
      <c r="A157" s="18" t="str">
        <f>'Consumo Médio - Clientes'!A154</f>
        <v>Philipe Silva Reis Pereira</v>
      </c>
      <c r="B157" s="18">
        <f>'Consumo Médio - Clientes'!B154</f>
        <v>7201104114</v>
      </c>
      <c r="C157" s="18">
        <f>'Consumo Médio - Clientes'!C154</f>
        <v>3001871763</v>
      </c>
      <c r="D157" s="37">
        <f>'Consumo Médio - Clientes'!AX154</f>
        <v>817</v>
      </c>
      <c r="E157" s="38">
        <f t="shared" si="59"/>
        <v>0.91556915544675643</v>
      </c>
      <c r="F157" s="37">
        <f t="shared" si="60"/>
        <v>748.02</v>
      </c>
      <c r="G157" s="125">
        <f>'Consumo Médio - Clientes'!AY154</f>
        <v>0</v>
      </c>
      <c r="H157" s="95">
        <v>1.4E-2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</row>
    <row r="158" spans="1:15" ht="13.5" customHeight="1" x14ac:dyDescent="0.2">
      <c r="A158" s="18" t="str">
        <f>'Consumo Médio - Clientes'!A155</f>
        <v>Reis &amp; Moraes Sociedade de Advogados</v>
      </c>
      <c r="B158" s="18">
        <f>'Consumo Médio - Clientes'!B155</f>
        <v>7203052221</v>
      </c>
      <c r="C158" s="18">
        <f>'Consumo Médio - Clientes'!C155</f>
        <v>3000975425</v>
      </c>
      <c r="D158" s="37">
        <f>'Consumo Médio - Clientes'!AX155</f>
        <v>272</v>
      </c>
      <c r="E158" s="38">
        <f t="shared" ref="E158:E161" si="61">F158/D158</f>
        <v>0.98216911764705872</v>
      </c>
      <c r="F158" s="37">
        <f t="shared" ref="F158:F161" si="62">SUM(H158*$H$2,I158*$I$2,J158*$J$2,$K$2*K158,$L$2*L158,M158*$M$2,N158*$N$2,O158*$O$2)</f>
        <v>267.14999999999998</v>
      </c>
      <c r="G158" s="125">
        <f>'Consumo Médio - Clientes'!AY155</f>
        <v>0</v>
      </c>
      <c r="H158" s="95">
        <v>5.0000000000000001E-3</v>
      </c>
      <c r="I158" s="122">
        <v>0</v>
      </c>
      <c r="J158" s="122">
        <v>0</v>
      </c>
      <c r="K158" s="122">
        <v>0</v>
      </c>
      <c r="L158" s="122">
        <v>0</v>
      </c>
      <c r="M158" s="122">
        <v>0</v>
      </c>
      <c r="N158" s="122">
        <v>0</v>
      </c>
      <c r="O158" s="122">
        <v>0</v>
      </c>
    </row>
    <row r="159" spans="1:15" ht="13.5" customHeight="1" x14ac:dyDescent="0.2">
      <c r="A159" s="18" t="str">
        <f>'Consumo Médio - Clientes'!A156</f>
        <v xml:space="preserve"> Rafael Moraes Pereira</v>
      </c>
      <c r="B159" s="18">
        <f>'Consumo Médio - Clientes'!B156</f>
        <v>0</v>
      </c>
      <c r="C159" s="18">
        <f>'Consumo Médio - Clientes'!C156</f>
        <v>3014002885</v>
      </c>
      <c r="D159" s="37">
        <f>'Consumo Médio - Clientes'!AX156</f>
        <v>627</v>
      </c>
      <c r="E159" s="38">
        <f t="shared" si="61"/>
        <v>0.85215311004784677</v>
      </c>
      <c r="F159" s="37">
        <f t="shared" si="62"/>
        <v>534.29999999999995</v>
      </c>
      <c r="G159" s="125"/>
      <c r="H159" s="95">
        <v>0.01</v>
      </c>
      <c r="I159" s="122">
        <v>0</v>
      </c>
      <c r="J159" s="122">
        <v>0</v>
      </c>
      <c r="K159" s="122">
        <v>0</v>
      </c>
      <c r="L159" s="122">
        <v>0</v>
      </c>
      <c r="M159" s="122">
        <v>0</v>
      </c>
      <c r="N159" s="122">
        <v>0</v>
      </c>
      <c r="O159" s="122">
        <v>0</v>
      </c>
    </row>
    <row r="160" spans="1:15" ht="13.5" customHeight="1" x14ac:dyDescent="0.2">
      <c r="A160" s="18" t="str">
        <f>'Consumo Médio - Clientes'!A157</f>
        <v>Francisco Bernardes Texeira</v>
      </c>
      <c r="B160" s="18">
        <f>'Consumo Médio - Clientes'!B157</f>
        <v>7002851665</v>
      </c>
      <c r="C160" s="18">
        <f>'Consumo Médio - Clientes'!C157</f>
        <v>3011864998</v>
      </c>
      <c r="D160" s="37">
        <f>'Consumo Médio - Clientes'!AX157</f>
        <v>110.66666666666667</v>
      </c>
      <c r="E160" s="38">
        <f t="shared" si="61"/>
        <v>0.96560240963855415</v>
      </c>
      <c r="F160" s="37">
        <f t="shared" si="62"/>
        <v>106.86</v>
      </c>
      <c r="G160" s="125"/>
      <c r="H160" s="95">
        <v>2E-3</v>
      </c>
      <c r="I160" s="122">
        <v>0</v>
      </c>
      <c r="J160" s="122">
        <v>0</v>
      </c>
      <c r="K160" s="122">
        <v>0</v>
      </c>
      <c r="L160" s="122">
        <v>0</v>
      </c>
      <c r="M160" s="122">
        <v>0</v>
      </c>
      <c r="N160" s="122">
        <v>0</v>
      </c>
      <c r="O160" s="122">
        <v>0</v>
      </c>
    </row>
    <row r="161" spans="1:15" ht="13.5" customHeight="1" x14ac:dyDescent="0.2">
      <c r="A161" s="18" t="str">
        <f>'Consumo Médio - Clientes'!A158</f>
        <v>Glaucia Silva Oda</v>
      </c>
      <c r="B161" s="18">
        <f>'Consumo Médio - Clientes'!B158</f>
        <v>0</v>
      </c>
      <c r="C161" s="18">
        <f>'Consumo Médio - Clientes'!C158</f>
        <v>3010214309</v>
      </c>
      <c r="D161" s="37" t="e">
        <f>'Consumo Médio - Clientes'!AX158</f>
        <v>#DIV/0!</v>
      </c>
      <c r="E161" s="38" t="e">
        <f t="shared" si="61"/>
        <v>#DIV/0!</v>
      </c>
      <c r="F161" s="37">
        <f t="shared" si="62"/>
        <v>0</v>
      </c>
      <c r="G161" s="125"/>
      <c r="H161" s="95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</row>
    <row r="162" spans="1:15" ht="13.5" customHeight="1" x14ac:dyDescent="0.2">
      <c r="A162" s="18" t="str">
        <f>'Consumo Médio - Clientes'!A159</f>
        <v>Breno Denubila Almeida</v>
      </c>
      <c r="B162" s="18">
        <f>'Consumo Médio - Clientes'!B159</f>
        <v>7201802268</v>
      </c>
      <c r="C162" s="18">
        <f>'Consumo Médio - Clientes'!C159</f>
        <v>3000811051</v>
      </c>
      <c r="D162" s="37">
        <f>'Consumo Médio - Clientes'!AX159</f>
        <v>564.66666666666663</v>
      </c>
      <c r="E162" s="38">
        <f t="shared" ref="E162" si="63">F162/D162</f>
        <v>0.94622195985832347</v>
      </c>
      <c r="F162" s="37">
        <f t="shared" ref="F162" si="64">SUM(H162*$H$2,I162*$I$2,J162*$J$2,$K$2*K162,$L$2*L162,M162*$M$2,N162*$N$2,O162*$O$2)</f>
        <v>534.29999999999995</v>
      </c>
      <c r="G162" s="125">
        <f>'Consumo Médio - Clientes'!AY156</f>
        <v>0</v>
      </c>
      <c r="H162" s="95">
        <v>0.01</v>
      </c>
      <c r="I162" s="122">
        <v>0</v>
      </c>
      <c r="J162" s="122">
        <v>0</v>
      </c>
      <c r="K162" s="122">
        <v>0</v>
      </c>
      <c r="L162" s="122">
        <v>0</v>
      </c>
      <c r="M162" s="122">
        <v>0</v>
      </c>
      <c r="N162" s="122">
        <v>0</v>
      </c>
      <c r="O162" s="122">
        <v>0</v>
      </c>
    </row>
    <row r="163" spans="1:15" ht="13.5" thickBot="1" x14ac:dyDescent="0.25">
      <c r="D163" s="84"/>
      <c r="E163" s="84"/>
      <c r="F163" s="15" t="s">
        <v>29</v>
      </c>
      <c r="G163" s="15"/>
      <c r="H163" s="47">
        <f t="shared" ref="H163:O163" si="65">SUM(H5:H162)</f>
        <v>1.0370000000000001</v>
      </c>
      <c r="I163" s="47">
        <f t="shared" si="65"/>
        <v>0.52350000000000008</v>
      </c>
      <c r="J163" s="47">
        <f t="shared" si="65"/>
        <v>1</v>
      </c>
      <c r="K163" s="47">
        <f t="shared" si="65"/>
        <v>1</v>
      </c>
      <c r="L163" s="47">
        <f t="shared" si="65"/>
        <v>1</v>
      </c>
      <c r="M163" s="47">
        <f t="shared" si="65"/>
        <v>1.0000000000000002</v>
      </c>
      <c r="N163" s="47">
        <f t="shared" si="65"/>
        <v>1.0000000000000002</v>
      </c>
      <c r="O163" s="47">
        <f t="shared" si="65"/>
        <v>1.0000000000000002</v>
      </c>
    </row>
    <row r="164" spans="1:15" ht="13.5" thickTop="1" x14ac:dyDescent="0.2"/>
    <row r="167" spans="1:15" x14ac:dyDescent="0.2">
      <c r="H167" s="124"/>
    </row>
  </sheetData>
  <autoFilter ref="A1:O163" xr:uid="{EF2FFD31-230F-402E-A39D-7216B31DB8BD}"/>
  <conditionalFormatting sqref="H5:O162">
    <cfRule type="cellIs" dxfId="2" priority="1" operator="equal">
      <formula>0.0001</formula>
    </cfRule>
    <cfRule type="cellIs" dxfId="1" priority="2" operator="equal">
      <formula>"0.01"</formula>
    </cfRule>
    <cfRule type="cellIs" dxfId="0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3020D-F1DB-4273-BEF2-3BC550434668}">
  <sheetPr codeName="Planilha6"/>
  <dimension ref="A1:BP242"/>
  <sheetViews>
    <sheetView zoomScale="90" zoomScaleNormal="90" workbookViewId="0">
      <pane xSplit="3" ySplit="1" topLeftCell="AT38" activePane="bottomRight" state="frozen"/>
      <selection pane="topRight" activeCell="D1" sqref="D1"/>
      <selection pane="bottomLeft" activeCell="A2" sqref="A2"/>
      <selection pane="bottomRight" activeCell="BD58" sqref="BD58"/>
    </sheetView>
  </sheetViews>
  <sheetFormatPr defaultColWidth="14.42578125" defaultRowHeight="15" customHeight="1" x14ac:dyDescent="0.25"/>
  <cols>
    <col min="1" max="1" width="36.7109375" style="13" customWidth="1"/>
    <col min="2" max="2" width="14.28515625" style="13" customWidth="1"/>
    <col min="3" max="31" width="14.42578125" style="13"/>
    <col min="32" max="37" width="0" style="13" hidden="1" customWidth="1"/>
    <col min="38" max="38" width="11.28515625" style="13" bestFit="1" customWidth="1"/>
    <col min="39" max="49" width="14.42578125" style="13"/>
    <col min="50" max="50" width="16.140625" style="13" bestFit="1" customWidth="1"/>
    <col min="51" max="51" width="14.42578125" style="13"/>
    <col min="52" max="52" width="12.5703125" style="128" bestFit="1" customWidth="1"/>
    <col min="53" max="53" width="11.7109375" style="128" bestFit="1" customWidth="1"/>
    <col min="54" max="54" width="11.7109375" style="128" customWidth="1"/>
    <col min="55" max="16384" width="14.42578125" style="13"/>
  </cols>
  <sheetData>
    <row r="1" spans="1:68" x14ac:dyDescent="0.25">
      <c r="A1" s="133" t="s">
        <v>0</v>
      </c>
      <c r="B1" s="133" t="s">
        <v>1</v>
      </c>
      <c r="C1" s="133" t="s">
        <v>105</v>
      </c>
      <c r="D1" s="28">
        <v>43617</v>
      </c>
      <c r="E1" s="28">
        <v>43647</v>
      </c>
      <c r="F1" s="28">
        <v>43678</v>
      </c>
      <c r="G1" s="28">
        <v>43709</v>
      </c>
      <c r="H1" s="28">
        <v>43739</v>
      </c>
      <c r="I1" s="28">
        <v>43770</v>
      </c>
      <c r="J1" s="28">
        <v>43800</v>
      </c>
      <c r="K1" s="28">
        <v>43831</v>
      </c>
      <c r="L1" s="28">
        <v>43862</v>
      </c>
      <c r="M1" s="28">
        <v>43891</v>
      </c>
      <c r="N1" s="28">
        <v>43922</v>
      </c>
      <c r="O1" s="28">
        <v>43952</v>
      </c>
      <c r="P1" s="28">
        <v>43983</v>
      </c>
      <c r="Q1" s="28">
        <v>44013</v>
      </c>
      <c r="R1" s="28">
        <v>44044</v>
      </c>
      <c r="S1" s="28">
        <v>44075</v>
      </c>
      <c r="T1" s="28">
        <v>44105</v>
      </c>
      <c r="U1" s="28">
        <v>44136</v>
      </c>
      <c r="V1" s="28">
        <v>44166</v>
      </c>
      <c r="W1" s="28">
        <v>44197</v>
      </c>
      <c r="X1" s="28">
        <v>44228</v>
      </c>
      <c r="Y1" s="28">
        <v>44256</v>
      </c>
      <c r="Z1" s="28">
        <v>44287</v>
      </c>
      <c r="AA1" s="28">
        <v>44317</v>
      </c>
      <c r="AB1" s="28">
        <v>44348</v>
      </c>
      <c r="AC1" s="28">
        <v>44378</v>
      </c>
      <c r="AD1" s="28">
        <v>44409</v>
      </c>
      <c r="AE1" s="28">
        <v>44440</v>
      </c>
      <c r="AF1" s="28">
        <v>44470</v>
      </c>
      <c r="AG1" s="28">
        <v>44501</v>
      </c>
      <c r="AH1" s="28">
        <v>44531</v>
      </c>
      <c r="AI1" s="28">
        <v>44562</v>
      </c>
      <c r="AJ1" s="28">
        <v>44593</v>
      </c>
      <c r="AK1" s="28">
        <v>44621</v>
      </c>
      <c r="AL1" s="28">
        <v>44652</v>
      </c>
      <c r="AM1" s="28">
        <v>44682</v>
      </c>
      <c r="AN1" s="28">
        <v>44713</v>
      </c>
      <c r="AO1" s="28">
        <v>44743</v>
      </c>
      <c r="AP1" s="28">
        <v>44774</v>
      </c>
      <c r="AQ1" s="28">
        <v>44805</v>
      </c>
      <c r="AR1" s="28">
        <v>44835</v>
      </c>
      <c r="AS1" s="28">
        <v>44866</v>
      </c>
      <c r="AT1" s="28">
        <v>44896</v>
      </c>
      <c r="AU1" s="28">
        <v>44927</v>
      </c>
      <c r="AV1" s="28">
        <v>44958</v>
      </c>
      <c r="AW1" s="28">
        <v>44986</v>
      </c>
      <c r="AX1" s="27" t="s">
        <v>106</v>
      </c>
      <c r="AY1" s="27" t="s">
        <v>103</v>
      </c>
      <c r="AZ1" s="130" t="s">
        <v>107</v>
      </c>
      <c r="BA1" s="130" t="s">
        <v>108</v>
      </c>
      <c r="BB1" s="130" t="s">
        <v>109</v>
      </c>
    </row>
    <row r="2" spans="1:68" x14ac:dyDescent="0.25">
      <c r="A2" s="68" t="s">
        <v>7</v>
      </c>
      <c r="B2" s="10">
        <v>7005713839</v>
      </c>
      <c r="C2" s="10">
        <v>3003858507</v>
      </c>
      <c r="D2" s="29">
        <v>1246</v>
      </c>
      <c r="E2" s="29">
        <v>1081</v>
      </c>
      <c r="F2" s="29">
        <v>1184</v>
      </c>
      <c r="G2" s="29">
        <v>1549</v>
      </c>
      <c r="H2" s="29">
        <v>2045</v>
      </c>
      <c r="I2" s="29">
        <v>4017</v>
      </c>
      <c r="J2" s="29">
        <v>2386</v>
      </c>
      <c r="K2" s="29">
        <v>4239</v>
      </c>
      <c r="L2" s="29">
        <v>2854</v>
      </c>
      <c r="M2" s="29">
        <v>3208</v>
      </c>
      <c r="N2" s="29">
        <v>1048</v>
      </c>
      <c r="O2" s="29">
        <v>1313</v>
      </c>
      <c r="P2" s="29">
        <v>1174</v>
      </c>
      <c r="Q2" s="29">
        <v>799</v>
      </c>
      <c r="R2" s="29">
        <v>952</v>
      </c>
      <c r="S2" s="29">
        <v>2085</v>
      </c>
      <c r="T2" s="29">
        <v>4218</v>
      </c>
      <c r="U2" s="29">
        <v>2922</v>
      </c>
      <c r="V2" s="29">
        <v>2964</v>
      </c>
      <c r="W2" s="29">
        <v>2806</v>
      </c>
      <c r="X2" s="29">
        <v>2186</v>
      </c>
      <c r="Y2" s="29">
        <v>1712</v>
      </c>
      <c r="Z2" s="29">
        <v>1123</v>
      </c>
      <c r="AA2" s="29">
        <v>1099</v>
      </c>
      <c r="AB2" s="29">
        <v>1881</v>
      </c>
      <c r="AC2" s="29">
        <v>1190</v>
      </c>
      <c r="AD2" s="29">
        <v>1279</v>
      </c>
      <c r="AE2" s="29">
        <v>3083</v>
      </c>
      <c r="AF2" s="29">
        <v>3273</v>
      </c>
      <c r="AG2" s="29">
        <v>2724</v>
      </c>
      <c r="AH2" s="29">
        <v>3490</v>
      </c>
      <c r="AI2" s="29">
        <v>3357</v>
      </c>
      <c r="AJ2" s="29">
        <v>3625</v>
      </c>
      <c r="AK2" s="29">
        <v>4187</v>
      </c>
      <c r="AL2" s="29">
        <v>3840</v>
      </c>
      <c r="AM2" s="29">
        <v>2478</v>
      </c>
      <c r="AN2" s="29">
        <v>817</v>
      </c>
      <c r="AO2" s="29">
        <v>601</v>
      </c>
      <c r="AP2" s="29">
        <v>638</v>
      </c>
      <c r="AQ2" s="29">
        <v>686</v>
      </c>
      <c r="AR2" s="29">
        <v>1216</v>
      </c>
      <c r="AS2" s="29">
        <v>1335</v>
      </c>
      <c r="AT2" s="29">
        <v>1317</v>
      </c>
      <c r="AU2" s="29">
        <v>2367</v>
      </c>
      <c r="AV2" s="29">
        <v>3056</v>
      </c>
      <c r="AW2" s="29">
        <v>3612</v>
      </c>
      <c r="AX2" s="31">
        <v>3308</v>
      </c>
      <c r="AY2" s="78">
        <v>0</v>
      </c>
      <c r="AZ2" s="80"/>
      <c r="BA2" s="80"/>
      <c r="BB2" s="80"/>
      <c r="BC2" s="30"/>
      <c r="BD2" s="30"/>
      <c r="BE2" s="27" t="s">
        <v>110</v>
      </c>
      <c r="BF2" s="27" t="s">
        <v>111</v>
      </c>
      <c r="BG2" s="27" t="s">
        <v>112</v>
      </c>
      <c r="BH2" s="27" t="s">
        <v>113</v>
      </c>
      <c r="BI2" s="27" t="s">
        <v>114</v>
      </c>
      <c r="BJ2" s="27" t="s">
        <v>115</v>
      </c>
      <c r="BK2" s="27" t="s">
        <v>116</v>
      </c>
      <c r="BL2" s="27" t="s">
        <v>117</v>
      </c>
      <c r="BM2" s="27" t="s">
        <v>118</v>
      </c>
      <c r="BN2" s="27" t="s">
        <v>119</v>
      </c>
      <c r="BO2" s="27" t="s">
        <v>120</v>
      </c>
      <c r="BP2" s="27" t="s">
        <v>121</v>
      </c>
    </row>
    <row r="3" spans="1:68" ht="38.25" x14ac:dyDescent="0.25">
      <c r="A3" s="68" t="s">
        <v>8</v>
      </c>
      <c r="B3" s="10">
        <v>7008528502</v>
      </c>
      <c r="C3" s="10">
        <v>3001084033</v>
      </c>
      <c r="D3" s="29">
        <v>7160</v>
      </c>
      <c r="E3" s="29">
        <v>6520</v>
      </c>
      <c r="F3" s="29">
        <v>6840</v>
      </c>
      <c r="G3" s="29">
        <v>7440</v>
      </c>
      <c r="H3" s="29">
        <v>6920</v>
      </c>
      <c r="I3" s="29">
        <v>6920</v>
      </c>
      <c r="J3" s="29">
        <v>7240</v>
      </c>
      <c r="K3" s="29">
        <v>6560</v>
      </c>
      <c r="L3" s="29">
        <v>7440</v>
      </c>
      <c r="M3" s="29">
        <v>7440</v>
      </c>
      <c r="N3" s="29">
        <v>5640</v>
      </c>
      <c r="O3" s="29">
        <v>4880</v>
      </c>
      <c r="P3" s="29">
        <v>5080</v>
      </c>
      <c r="Q3" s="29">
        <v>4840</v>
      </c>
      <c r="R3" s="29">
        <v>6520</v>
      </c>
      <c r="S3" s="29">
        <v>6120</v>
      </c>
      <c r="T3" s="29">
        <v>5720</v>
      </c>
      <c r="U3" s="29">
        <v>7480</v>
      </c>
      <c r="V3" s="29">
        <v>6680</v>
      </c>
      <c r="W3" s="29">
        <v>6680</v>
      </c>
      <c r="X3" s="29">
        <v>5680</v>
      </c>
      <c r="Y3" s="29">
        <v>5760</v>
      </c>
      <c r="Z3" s="29">
        <v>3760</v>
      </c>
      <c r="AA3" s="29">
        <v>4280</v>
      </c>
      <c r="AB3" s="29">
        <v>5800</v>
      </c>
      <c r="AC3" s="29">
        <v>5480</v>
      </c>
      <c r="AD3" s="29">
        <v>5480</v>
      </c>
      <c r="AE3" s="29">
        <v>5280</v>
      </c>
      <c r="AF3" s="29">
        <v>5760</v>
      </c>
      <c r="AG3" s="29">
        <v>5560</v>
      </c>
      <c r="AH3" s="29">
        <v>6600</v>
      </c>
      <c r="AI3" s="29">
        <v>6400</v>
      </c>
      <c r="AJ3" s="29">
        <v>7160</v>
      </c>
      <c r="AK3" s="29">
        <v>6960</v>
      </c>
      <c r="AL3" s="29">
        <v>7080</v>
      </c>
      <c r="AM3" s="29">
        <v>6800</v>
      </c>
      <c r="AN3" s="29">
        <v>6760</v>
      </c>
      <c r="AO3" s="29">
        <v>6280</v>
      </c>
      <c r="AP3" s="29">
        <v>5560</v>
      </c>
      <c r="AQ3" s="29">
        <v>6360</v>
      </c>
      <c r="AR3" s="29">
        <v>7440</v>
      </c>
      <c r="AS3" s="29">
        <v>7240</v>
      </c>
      <c r="AT3" s="29">
        <v>7960</v>
      </c>
      <c r="AU3" s="29">
        <v>5880</v>
      </c>
      <c r="AV3" s="29">
        <v>7560</v>
      </c>
      <c r="AW3" s="29">
        <v>7640</v>
      </c>
      <c r="AX3" s="31">
        <v>7707</v>
      </c>
      <c r="AY3" s="78">
        <v>19766</v>
      </c>
      <c r="AZ3" s="128" t="s">
        <v>75</v>
      </c>
      <c r="BA3" s="129">
        <v>45049</v>
      </c>
      <c r="BB3" s="129">
        <v>45036</v>
      </c>
      <c r="BC3" s="33" t="s">
        <v>122</v>
      </c>
      <c r="BD3" s="34">
        <v>3013497957</v>
      </c>
      <c r="BE3" s="30">
        <v>53904</v>
      </c>
      <c r="BF3" s="30">
        <v>52408</v>
      </c>
      <c r="BG3" s="30">
        <v>52317</v>
      </c>
      <c r="BH3" s="30">
        <v>48122</v>
      </c>
      <c r="BI3" s="30">
        <v>50739</v>
      </c>
      <c r="BJ3" s="30">
        <v>48737</v>
      </c>
      <c r="BK3" s="30">
        <v>52874</v>
      </c>
      <c r="BL3" s="30">
        <v>56271</v>
      </c>
      <c r="BM3" s="30">
        <v>51096</v>
      </c>
      <c r="BN3" s="30">
        <v>53430</v>
      </c>
      <c r="BO3" s="30">
        <v>45995</v>
      </c>
      <c r="BP3" s="30">
        <v>51054</v>
      </c>
    </row>
    <row r="4" spans="1:68" x14ac:dyDescent="0.25">
      <c r="A4" s="68" t="s">
        <v>9</v>
      </c>
      <c r="B4" s="10">
        <v>7005369021</v>
      </c>
      <c r="C4" s="10">
        <v>3011373971</v>
      </c>
      <c r="D4" s="30">
        <v>440</v>
      </c>
      <c r="E4" s="30">
        <v>600</v>
      </c>
      <c r="F4" s="30">
        <v>680</v>
      </c>
      <c r="G4" s="30">
        <v>760</v>
      </c>
      <c r="H4" s="30">
        <v>560</v>
      </c>
      <c r="I4" s="30">
        <v>520</v>
      </c>
      <c r="J4" s="30">
        <v>320</v>
      </c>
      <c r="K4" s="30">
        <v>440</v>
      </c>
      <c r="L4" s="30">
        <v>280</v>
      </c>
      <c r="M4" s="30">
        <v>320</v>
      </c>
      <c r="N4" s="30">
        <v>440</v>
      </c>
      <c r="O4" s="30">
        <v>0</v>
      </c>
      <c r="P4" s="30">
        <v>0</v>
      </c>
      <c r="Q4" s="30">
        <v>0</v>
      </c>
      <c r="R4" s="30">
        <v>0</v>
      </c>
      <c r="S4" s="30">
        <v>320</v>
      </c>
      <c r="T4" s="30">
        <v>280</v>
      </c>
      <c r="U4" s="30">
        <v>360</v>
      </c>
      <c r="V4" s="30">
        <v>280</v>
      </c>
      <c r="W4" s="30">
        <v>400</v>
      </c>
      <c r="X4" s="30">
        <v>320</v>
      </c>
      <c r="Y4" s="30">
        <v>280</v>
      </c>
      <c r="Z4" s="30">
        <v>0</v>
      </c>
      <c r="AA4" s="30">
        <v>400</v>
      </c>
      <c r="AB4" s="30">
        <v>480</v>
      </c>
      <c r="AC4" s="30">
        <v>480</v>
      </c>
      <c r="AD4" s="30">
        <v>600</v>
      </c>
      <c r="AE4" s="30">
        <v>560</v>
      </c>
      <c r="AF4" s="30">
        <v>480</v>
      </c>
      <c r="AG4" s="30">
        <v>560</v>
      </c>
      <c r="AH4" s="30">
        <v>480</v>
      </c>
      <c r="AI4" s="30">
        <v>480</v>
      </c>
      <c r="AJ4" s="30">
        <v>440</v>
      </c>
      <c r="AK4" s="29">
        <v>560</v>
      </c>
      <c r="AL4" s="29">
        <v>560</v>
      </c>
      <c r="AM4" s="29">
        <v>680</v>
      </c>
      <c r="AN4" s="29">
        <v>840</v>
      </c>
      <c r="AO4" s="29">
        <v>800</v>
      </c>
      <c r="AP4" s="29">
        <v>760</v>
      </c>
      <c r="AQ4" s="29">
        <v>840</v>
      </c>
      <c r="AR4" s="29">
        <v>920</v>
      </c>
      <c r="AS4" s="29">
        <v>360</v>
      </c>
      <c r="AT4" s="29">
        <v>680</v>
      </c>
      <c r="AU4" s="29">
        <v>800</v>
      </c>
      <c r="AV4" s="29">
        <v>480</v>
      </c>
      <c r="AW4" s="29">
        <v>440</v>
      </c>
      <c r="AX4" s="31">
        <v>467</v>
      </c>
      <c r="AY4" s="78">
        <v>1359</v>
      </c>
      <c r="AZ4" s="131" t="s">
        <v>75</v>
      </c>
      <c r="BA4" s="129">
        <v>45063</v>
      </c>
      <c r="BB4" s="129">
        <v>45044</v>
      </c>
    </row>
    <row r="5" spans="1:68" x14ac:dyDescent="0.25">
      <c r="A5" s="68" t="s">
        <v>11</v>
      </c>
      <c r="B5" s="10">
        <v>7005492088</v>
      </c>
      <c r="C5" s="10">
        <v>3001449459</v>
      </c>
      <c r="D5" s="30">
        <v>960</v>
      </c>
      <c r="E5" s="30">
        <v>920</v>
      </c>
      <c r="F5" s="29">
        <v>1120</v>
      </c>
      <c r="G5" s="29">
        <v>1040</v>
      </c>
      <c r="H5" s="29">
        <v>1120</v>
      </c>
      <c r="I5" s="29">
        <v>1240</v>
      </c>
      <c r="J5" s="29">
        <v>1000</v>
      </c>
      <c r="K5" s="29">
        <v>1120</v>
      </c>
      <c r="L5" s="29">
        <v>1200</v>
      </c>
      <c r="M5" s="29">
        <v>1360</v>
      </c>
      <c r="N5" s="29">
        <v>1080</v>
      </c>
      <c r="O5" s="29">
        <v>1040</v>
      </c>
      <c r="P5" s="29">
        <v>1320</v>
      </c>
      <c r="Q5" s="29">
        <v>960</v>
      </c>
      <c r="R5" s="29">
        <v>1240</v>
      </c>
      <c r="S5" s="29">
        <v>1280</v>
      </c>
      <c r="T5" s="29">
        <v>1480</v>
      </c>
      <c r="U5" s="29">
        <v>1320</v>
      </c>
      <c r="V5" s="29">
        <v>1400</v>
      </c>
      <c r="W5" s="29">
        <v>1160</v>
      </c>
      <c r="X5" s="29">
        <v>960</v>
      </c>
      <c r="Y5" s="29">
        <v>1000</v>
      </c>
      <c r="Z5" s="29">
        <v>1160</v>
      </c>
      <c r="AA5" s="29">
        <v>960</v>
      </c>
      <c r="AB5" s="29">
        <v>960</v>
      </c>
      <c r="AC5" s="29">
        <v>1000</v>
      </c>
      <c r="AD5" s="29">
        <v>1040</v>
      </c>
      <c r="AE5" s="29">
        <v>1160</v>
      </c>
      <c r="AF5" s="29">
        <v>840</v>
      </c>
      <c r="AG5" s="29">
        <v>760</v>
      </c>
      <c r="AH5" s="29">
        <v>720</v>
      </c>
      <c r="AI5" s="29">
        <v>720</v>
      </c>
      <c r="AJ5" s="29">
        <v>720</v>
      </c>
      <c r="AK5" s="29">
        <v>720</v>
      </c>
      <c r="AL5" s="29">
        <v>800</v>
      </c>
      <c r="AM5" s="29">
        <v>800</v>
      </c>
      <c r="AN5" s="29">
        <v>720</v>
      </c>
      <c r="AO5" s="29">
        <v>880</v>
      </c>
      <c r="AP5" s="29">
        <v>680</v>
      </c>
      <c r="AQ5" s="29">
        <v>800</v>
      </c>
      <c r="AR5" s="29">
        <v>1000</v>
      </c>
      <c r="AS5" s="29">
        <v>840</v>
      </c>
      <c r="AT5" s="29">
        <v>880</v>
      </c>
      <c r="AU5" s="29">
        <v>840</v>
      </c>
      <c r="AV5" s="29">
        <v>760</v>
      </c>
      <c r="AW5" s="29"/>
      <c r="AX5" s="31">
        <v>1440</v>
      </c>
      <c r="AY5" s="78">
        <v>0</v>
      </c>
    </row>
    <row r="6" spans="1:68" x14ac:dyDescent="0.25">
      <c r="A6" s="68" t="s">
        <v>11</v>
      </c>
      <c r="B6" s="10">
        <v>7005492088</v>
      </c>
      <c r="C6" s="10">
        <v>3011504476</v>
      </c>
      <c r="D6" s="29">
        <v>1560</v>
      </c>
      <c r="E6" s="29">
        <v>1280</v>
      </c>
      <c r="F6" s="29">
        <v>1360</v>
      </c>
      <c r="G6" s="29">
        <v>1680</v>
      </c>
      <c r="H6" s="29">
        <v>1680</v>
      </c>
      <c r="I6" s="29">
        <v>2920</v>
      </c>
      <c r="J6" s="29">
        <v>1960</v>
      </c>
      <c r="K6" s="29">
        <v>2280</v>
      </c>
      <c r="L6" s="29">
        <v>2480</v>
      </c>
      <c r="M6" s="29">
        <v>2240</v>
      </c>
      <c r="N6" s="29">
        <v>1480</v>
      </c>
      <c r="O6" s="29">
        <v>1280</v>
      </c>
      <c r="P6" s="29">
        <v>1240</v>
      </c>
      <c r="Q6" s="29">
        <v>1160</v>
      </c>
      <c r="R6" s="29">
        <v>1360</v>
      </c>
      <c r="S6" s="29">
        <v>1400</v>
      </c>
      <c r="T6" s="29">
        <v>2480</v>
      </c>
      <c r="U6" s="29">
        <v>2320</v>
      </c>
      <c r="V6" s="29">
        <v>3320</v>
      </c>
      <c r="W6" s="29">
        <v>2640</v>
      </c>
      <c r="X6" s="29">
        <v>2160</v>
      </c>
      <c r="Y6" s="29">
        <v>2120</v>
      </c>
      <c r="Z6" s="29">
        <v>2320</v>
      </c>
      <c r="AA6" s="29">
        <v>1520</v>
      </c>
      <c r="AB6" s="29">
        <v>1640</v>
      </c>
      <c r="AC6" s="29">
        <v>1200</v>
      </c>
      <c r="AD6" s="29">
        <v>1200</v>
      </c>
      <c r="AE6" s="29">
        <v>2040</v>
      </c>
      <c r="AF6" s="29">
        <v>2040</v>
      </c>
      <c r="AG6" s="29">
        <v>2080</v>
      </c>
      <c r="AH6" s="29">
        <v>2280</v>
      </c>
      <c r="AI6" s="29">
        <v>2600</v>
      </c>
      <c r="AJ6" s="29">
        <v>2520</v>
      </c>
      <c r="AK6" s="29">
        <v>3240</v>
      </c>
      <c r="AL6" s="29">
        <v>2960</v>
      </c>
      <c r="AM6" s="29">
        <v>1840</v>
      </c>
      <c r="AN6" s="29">
        <v>1600</v>
      </c>
      <c r="AO6" s="29">
        <v>1480</v>
      </c>
      <c r="AP6" s="29">
        <v>1440</v>
      </c>
      <c r="AQ6" s="29">
        <v>1720</v>
      </c>
      <c r="AR6" s="29">
        <v>2280</v>
      </c>
      <c r="AS6" s="29">
        <v>2000</v>
      </c>
      <c r="AT6" s="29">
        <v>2160</v>
      </c>
      <c r="AU6" s="29">
        <v>2120</v>
      </c>
      <c r="AV6" s="29">
        <v>2680</v>
      </c>
      <c r="AW6" s="29">
        <v>1589</v>
      </c>
      <c r="AX6" s="31">
        <v>1867</v>
      </c>
      <c r="AY6" s="78">
        <v>127</v>
      </c>
    </row>
    <row r="7" spans="1:68" x14ac:dyDescent="0.25">
      <c r="A7" s="68" t="s">
        <v>11</v>
      </c>
      <c r="B7" s="10">
        <v>7005492088</v>
      </c>
      <c r="C7" s="49">
        <v>3014340686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>
        <v>3388</v>
      </c>
      <c r="U7" s="29">
        <v>3162</v>
      </c>
      <c r="V7" s="29">
        <v>2869</v>
      </c>
      <c r="W7" s="29">
        <v>3865</v>
      </c>
      <c r="X7" s="29">
        <v>2686</v>
      </c>
      <c r="Y7" s="29">
        <v>2154</v>
      </c>
      <c r="Z7" s="29">
        <v>2233</v>
      </c>
      <c r="AA7" s="29">
        <v>2095</v>
      </c>
      <c r="AB7" s="29">
        <v>1581</v>
      </c>
      <c r="AC7" s="29">
        <v>2146</v>
      </c>
      <c r="AD7" s="29">
        <v>2397</v>
      </c>
      <c r="AE7" s="29">
        <v>2247</v>
      </c>
      <c r="AF7" s="29">
        <v>1782</v>
      </c>
      <c r="AG7" s="29">
        <v>1670</v>
      </c>
      <c r="AH7" s="29">
        <v>1720</v>
      </c>
      <c r="AI7" s="29">
        <v>1677</v>
      </c>
      <c r="AJ7" s="29">
        <v>1812</v>
      </c>
      <c r="AK7" s="29">
        <v>1870</v>
      </c>
      <c r="AL7" s="29">
        <v>1995</v>
      </c>
      <c r="AM7" s="29">
        <v>2283</v>
      </c>
      <c r="AN7" s="29">
        <v>1309</v>
      </c>
      <c r="AO7" s="29">
        <v>1829</v>
      </c>
      <c r="AP7" s="29">
        <v>1449</v>
      </c>
      <c r="AQ7" s="29">
        <v>1792</v>
      </c>
      <c r="AR7" s="29">
        <v>1559</v>
      </c>
      <c r="AS7" s="29">
        <v>1660</v>
      </c>
      <c r="AT7" s="29">
        <v>1639</v>
      </c>
      <c r="AU7" s="29">
        <v>1635</v>
      </c>
      <c r="AV7" s="29">
        <v>1558</v>
      </c>
      <c r="AW7" s="29">
        <v>1406</v>
      </c>
      <c r="AX7" s="31">
        <v>1447</v>
      </c>
      <c r="AY7" s="78">
        <v>0</v>
      </c>
    </row>
    <row r="8" spans="1:68" x14ac:dyDescent="0.25">
      <c r="A8" s="68" t="s">
        <v>12</v>
      </c>
      <c r="B8" s="10">
        <v>7202158396</v>
      </c>
      <c r="C8" s="10">
        <v>3002906325</v>
      </c>
      <c r="D8" s="30"/>
      <c r="E8" s="30"/>
      <c r="F8" s="30"/>
      <c r="G8" s="30"/>
      <c r="H8" s="30"/>
      <c r="I8" s="30">
        <v>404</v>
      </c>
      <c r="J8" s="30">
        <v>297</v>
      </c>
      <c r="K8" s="30">
        <v>358</v>
      </c>
      <c r="L8" s="30">
        <v>315</v>
      </c>
      <c r="M8" s="30">
        <v>322</v>
      </c>
      <c r="N8" s="30">
        <v>340</v>
      </c>
      <c r="O8" s="30">
        <v>340</v>
      </c>
      <c r="P8" s="30">
        <v>401</v>
      </c>
      <c r="Q8" s="30">
        <v>307</v>
      </c>
      <c r="R8" s="30">
        <v>402</v>
      </c>
      <c r="S8" s="30">
        <v>347</v>
      </c>
      <c r="T8" s="30">
        <v>457</v>
      </c>
      <c r="U8" s="30">
        <v>350</v>
      </c>
      <c r="V8" s="30">
        <v>350</v>
      </c>
      <c r="W8" s="30">
        <v>350</v>
      </c>
      <c r="X8" s="30">
        <v>350</v>
      </c>
      <c r="Y8" s="30">
        <v>350</v>
      </c>
      <c r="Z8" s="30">
        <v>433</v>
      </c>
      <c r="AA8" s="30">
        <v>402</v>
      </c>
      <c r="AB8" s="30">
        <v>417</v>
      </c>
      <c r="AC8" s="30">
        <v>407</v>
      </c>
      <c r="AD8" s="30">
        <v>454</v>
      </c>
      <c r="AE8" s="30">
        <v>373</v>
      </c>
      <c r="AF8" s="30">
        <v>411</v>
      </c>
      <c r="AG8" s="30">
        <v>720</v>
      </c>
      <c r="AH8" s="30">
        <v>387</v>
      </c>
      <c r="AI8" s="30">
        <v>387</v>
      </c>
      <c r="AJ8" s="30">
        <v>377</v>
      </c>
      <c r="AK8" s="30">
        <v>462</v>
      </c>
      <c r="AL8" s="30">
        <v>374</v>
      </c>
      <c r="AM8" s="30">
        <v>351</v>
      </c>
      <c r="AN8" s="30">
        <v>413</v>
      </c>
      <c r="AO8" s="29">
        <v>358</v>
      </c>
      <c r="AP8" s="29">
        <v>344</v>
      </c>
      <c r="AQ8" s="29">
        <v>429</v>
      </c>
      <c r="AR8" s="29">
        <v>407</v>
      </c>
      <c r="AS8" s="29">
        <v>389</v>
      </c>
      <c r="AT8" s="29">
        <v>434</v>
      </c>
      <c r="AU8" s="29">
        <v>389</v>
      </c>
      <c r="AV8" s="29">
        <v>375</v>
      </c>
      <c r="AW8" s="29">
        <v>404</v>
      </c>
      <c r="AX8" s="31">
        <v>388</v>
      </c>
      <c r="AY8" s="78">
        <v>0</v>
      </c>
    </row>
    <row r="9" spans="1:68" x14ac:dyDescent="0.25">
      <c r="A9" s="68" t="s">
        <v>13</v>
      </c>
      <c r="B9" s="10">
        <v>7005723073</v>
      </c>
      <c r="C9" s="10">
        <v>3002906806</v>
      </c>
      <c r="D9" s="29">
        <v>2263</v>
      </c>
      <c r="E9" s="29">
        <v>1989</v>
      </c>
      <c r="F9" s="29">
        <v>2277</v>
      </c>
      <c r="G9" s="29">
        <v>2031</v>
      </c>
      <c r="H9" s="29">
        <v>1941</v>
      </c>
      <c r="I9" s="29">
        <v>2268</v>
      </c>
      <c r="J9" s="29">
        <v>2117</v>
      </c>
      <c r="K9" s="29">
        <v>2058</v>
      </c>
      <c r="L9" s="29">
        <v>2364</v>
      </c>
      <c r="M9" s="29">
        <v>2129</v>
      </c>
      <c r="N9" s="29">
        <v>1606</v>
      </c>
      <c r="O9" s="29">
        <v>1762</v>
      </c>
      <c r="P9" s="29">
        <v>1730</v>
      </c>
      <c r="Q9" s="29">
        <v>1587</v>
      </c>
      <c r="R9" s="29">
        <v>1999</v>
      </c>
      <c r="S9" s="29">
        <v>1958</v>
      </c>
      <c r="T9" s="29">
        <v>2118</v>
      </c>
      <c r="U9" s="29">
        <v>2132</v>
      </c>
      <c r="V9" s="29">
        <v>1331</v>
      </c>
      <c r="W9" s="29">
        <v>2162</v>
      </c>
      <c r="X9" s="29">
        <v>1983</v>
      </c>
      <c r="Y9" s="29">
        <v>2200</v>
      </c>
      <c r="Z9" s="29">
        <v>2071</v>
      </c>
      <c r="AA9" s="29">
        <v>1894</v>
      </c>
      <c r="AB9" s="29">
        <v>2236</v>
      </c>
      <c r="AC9" s="29">
        <v>1987</v>
      </c>
      <c r="AD9" s="29">
        <v>2075</v>
      </c>
      <c r="AE9" s="29">
        <v>2317</v>
      </c>
      <c r="AF9" s="29">
        <v>2086</v>
      </c>
      <c r="AG9" s="29">
        <v>2202</v>
      </c>
      <c r="AH9" s="29">
        <v>2036</v>
      </c>
      <c r="AI9" s="29">
        <v>1910</v>
      </c>
      <c r="AJ9" s="29">
        <v>2143</v>
      </c>
      <c r="AK9" s="29">
        <v>2219</v>
      </c>
      <c r="AL9" s="29">
        <v>1944</v>
      </c>
      <c r="AM9" s="29">
        <v>2110</v>
      </c>
      <c r="AN9" s="29">
        <v>2194</v>
      </c>
      <c r="AO9" s="29">
        <v>2072</v>
      </c>
      <c r="AP9" s="29">
        <v>1989</v>
      </c>
      <c r="AQ9" s="29">
        <v>2421</v>
      </c>
      <c r="AR9" s="29">
        <v>2164</v>
      </c>
      <c r="AS9" s="29">
        <v>2064</v>
      </c>
      <c r="AT9" s="29">
        <v>2353</v>
      </c>
      <c r="AU9" s="29">
        <v>2152</v>
      </c>
      <c r="AV9" s="29">
        <v>2098</v>
      </c>
      <c r="AW9" s="29">
        <v>2393</v>
      </c>
      <c r="AX9" s="31">
        <v>2262</v>
      </c>
      <c r="AY9" s="78">
        <v>4764</v>
      </c>
      <c r="AZ9" s="128" t="s">
        <v>75</v>
      </c>
      <c r="BA9" s="129">
        <v>45063</v>
      </c>
      <c r="BB9" s="129">
        <v>45044</v>
      </c>
    </row>
    <row r="10" spans="1:68" x14ac:dyDescent="0.25">
      <c r="A10" s="68" t="s">
        <v>14</v>
      </c>
      <c r="B10" s="10">
        <v>7009098124</v>
      </c>
      <c r="C10" s="10">
        <v>3003388708</v>
      </c>
      <c r="D10" s="29">
        <v>5830</v>
      </c>
      <c r="E10" s="29">
        <v>4757</v>
      </c>
      <c r="F10" s="29">
        <v>4753</v>
      </c>
      <c r="G10" s="29">
        <v>5481</v>
      </c>
      <c r="H10" s="29">
        <v>5249</v>
      </c>
      <c r="I10" s="29">
        <v>6055</v>
      </c>
      <c r="J10" s="29">
        <v>5647</v>
      </c>
      <c r="K10" s="29">
        <v>6105</v>
      </c>
      <c r="L10" s="29">
        <v>6355</v>
      </c>
      <c r="M10" s="29">
        <v>6094</v>
      </c>
      <c r="N10" s="29">
        <v>5388</v>
      </c>
      <c r="O10" s="29">
        <v>6589</v>
      </c>
      <c r="P10" s="29">
        <v>5750</v>
      </c>
      <c r="Q10" s="29">
        <v>5874</v>
      </c>
      <c r="R10" s="29">
        <v>6723</v>
      </c>
      <c r="S10" s="29">
        <v>5634</v>
      </c>
      <c r="T10" s="29">
        <v>6380</v>
      </c>
      <c r="U10" s="29">
        <v>7074</v>
      </c>
      <c r="V10" s="29">
        <v>6620</v>
      </c>
      <c r="W10" s="29">
        <v>7928</v>
      </c>
      <c r="X10" s="29">
        <v>6492</v>
      </c>
      <c r="Y10" s="29">
        <v>6326</v>
      </c>
      <c r="Z10" s="29">
        <v>7223</v>
      </c>
      <c r="AA10" s="29">
        <v>5740</v>
      </c>
      <c r="AB10" s="29">
        <v>5617</v>
      </c>
      <c r="AC10" s="29">
        <v>5318</v>
      </c>
      <c r="AD10" s="29">
        <v>5797</v>
      </c>
      <c r="AE10" s="29">
        <v>5391</v>
      </c>
      <c r="AF10" s="29">
        <v>6048</v>
      </c>
      <c r="AG10" s="29">
        <v>5196</v>
      </c>
      <c r="AH10" s="29">
        <v>4642</v>
      </c>
      <c r="AI10" s="29">
        <v>5976</v>
      </c>
      <c r="AJ10" s="29">
        <v>5269</v>
      </c>
      <c r="AK10" s="29">
        <v>4911</v>
      </c>
      <c r="AL10" s="29">
        <v>5180</v>
      </c>
      <c r="AM10" s="29">
        <v>4998</v>
      </c>
      <c r="AN10" s="29">
        <v>4687</v>
      </c>
      <c r="AO10" s="29">
        <v>4880</v>
      </c>
      <c r="AP10" s="29">
        <v>4113</v>
      </c>
      <c r="AQ10" s="29">
        <v>4492</v>
      </c>
      <c r="AR10" s="29">
        <v>4935</v>
      </c>
      <c r="AS10" s="29">
        <v>4949</v>
      </c>
      <c r="AT10" s="29">
        <v>5240</v>
      </c>
      <c r="AU10" s="29">
        <v>5156</v>
      </c>
      <c r="AV10" s="29">
        <v>5311</v>
      </c>
      <c r="AW10" s="29">
        <v>5642</v>
      </c>
      <c r="AX10" s="31">
        <v>5293</v>
      </c>
      <c r="AY10" s="78">
        <v>2658</v>
      </c>
      <c r="AZ10" s="128" t="s">
        <v>75</v>
      </c>
      <c r="BA10" s="129">
        <v>45039</v>
      </c>
      <c r="BB10" s="129">
        <v>45027</v>
      </c>
    </row>
    <row r="11" spans="1:68" x14ac:dyDescent="0.25">
      <c r="A11" s="68" t="s">
        <v>14</v>
      </c>
      <c r="B11" s="10">
        <v>7009098124</v>
      </c>
      <c r="C11" s="10">
        <v>3010494037</v>
      </c>
      <c r="D11" s="29">
        <v>3320</v>
      </c>
      <c r="E11" s="29">
        <v>2840</v>
      </c>
      <c r="F11" s="29">
        <v>3000</v>
      </c>
      <c r="G11" s="29">
        <v>2880</v>
      </c>
      <c r="H11" s="29">
        <v>2600</v>
      </c>
      <c r="I11" s="29">
        <v>3360</v>
      </c>
      <c r="J11" s="29">
        <v>3000</v>
      </c>
      <c r="K11" s="29">
        <v>3200</v>
      </c>
      <c r="L11" s="29">
        <v>3280</v>
      </c>
      <c r="M11" s="29">
        <v>1560</v>
      </c>
      <c r="N11" s="30">
        <v>800</v>
      </c>
      <c r="O11" s="30">
        <v>920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29">
        <v>1080</v>
      </c>
      <c r="AE11" s="29">
        <v>12320</v>
      </c>
      <c r="AF11" s="29">
        <v>15800</v>
      </c>
      <c r="AG11" s="29">
        <v>14120</v>
      </c>
      <c r="AH11" s="29">
        <v>15280</v>
      </c>
      <c r="AI11" s="29">
        <v>4880</v>
      </c>
      <c r="AJ11" s="29">
        <v>26960</v>
      </c>
      <c r="AK11" s="29">
        <v>13680</v>
      </c>
      <c r="AL11" s="29">
        <v>14040</v>
      </c>
      <c r="AM11" s="29">
        <v>13520</v>
      </c>
      <c r="AN11" s="29">
        <v>11880</v>
      </c>
      <c r="AO11" s="29">
        <v>12360</v>
      </c>
      <c r="AP11" s="29">
        <v>10520</v>
      </c>
      <c r="AQ11" s="29">
        <v>10920</v>
      </c>
      <c r="AR11" s="29">
        <v>11520</v>
      </c>
      <c r="AS11" s="29">
        <v>12200</v>
      </c>
      <c r="AT11" s="29">
        <v>14080</v>
      </c>
      <c r="AU11" s="29">
        <v>15600</v>
      </c>
      <c r="AV11" s="29">
        <v>12640</v>
      </c>
      <c r="AW11" s="29">
        <v>14880</v>
      </c>
      <c r="AX11" s="31">
        <v>13467</v>
      </c>
      <c r="AY11" s="78">
        <v>8076</v>
      </c>
      <c r="AZ11" s="128" t="s">
        <v>75</v>
      </c>
      <c r="BA11" s="129">
        <v>45039</v>
      </c>
      <c r="BB11" s="129">
        <v>45027</v>
      </c>
    </row>
    <row r="12" spans="1:68" x14ac:dyDescent="0.25">
      <c r="A12" s="68" t="s">
        <v>15</v>
      </c>
      <c r="B12" s="10">
        <v>7005719624</v>
      </c>
      <c r="C12" s="10">
        <v>3001268572</v>
      </c>
      <c r="D12" s="29">
        <v>4590</v>
      </c>
      <c r="E12" s="29">
        <v>3124</v>
      </c>
      <c r="F12" s="29">
        <v>4253</v>
      </c>
      <c r="G12" s="29">
        <v>3269</v>
      </c>
      <c r="H12" s="29">
        <v>3414</v>
      </c>
      <c r="I12" s="29">
        <v>3814</v>
      </c>
      <c r="J12" s="29">
        <v>3437</v>
      </c>
      <c r="K12" s="29">
        <v>3922</v>
      </c>
      <c r="L12" s="29">
        <v>4078</v>
      </c>
      <c r="M12" s="29">
        <v>4227</v>
      </c>
      <c r="N12" s="29">
        <v>4622</v>
      </c>
      <c r="O12" s="29">
        <v>3755</v>
      </c>
      <c r="P12" s="29">
        <v>3643</v>
      </c>
      <c r="Q12" s="29">
        <v>3284</v>
      </c>
      <c r="R12" s="29">
        <v>3940</v>
      </c>
      <c r="S12" s="29">
        <v>3522</v>
      </c>
      <c r="T12" s="29">
        <v>1700</v>
      </c>
      <c r="U12" s="29">
        <v>1700</v>
      </c>
      <c r="V12" s="29">
        <v>1700</v>
      </c>
      <c r="W12" s="29">
        <v>1700</v>
      </c>
      <c r="X12" s="29">
        <v>1700</v>
      </c>
      <c r="Y12" s="29">
        <v>1700</v>
      </c>
      <c r="Z12" s="29">
        <v>1700</v>
      </c>
      <c r="AA12" s="29">
        <v>1700</v>
      </c>
      <c r="AB12" s="29">
        <v>3969</v>
      </c>
      <c r="AC12" s="29">
        <v>3557</v>
      </c>
      <c r="AD12" s="29">
        <v>3789</v>
      </c>
      <c r="AE12" s="29">
        <v>4493</v>
      </c>
      <c r="AF12" s="29">
        <v>4292</v>
      </c>
      <c r="AG12" s="29">
        <v>4059</v>
      </c>
      <c r="AH12" s="29">
        <v>4214</v>
      </c>
      <c r="AI12" s="29">
        <v>4377</v>
      </c>
      <c r="AJ12" s="29">
        <v>4185</v>
      </c>
      <c r="AK12" s="29">
        <v>4195</v>
      </c>
      <c r="AL12" s="29">
        <v>4522</v>
      </c>
      <c r="AM12" s="29">
        <v>4187</v>
      </c>
      <c r="AN12" s="29">
        <v>4519</v>
      </c>
      <c r="AO12" s="29">
        <v>4038</v>
      </c>
      <c r="AP12" s="29">
        <v>4312</v>
      </c>
      <c r="AQ12" s="29">
        <v>4400</v>
      </c>
      <c r="AR12" s="29">
        <v>4364</v>
      </c>
      <c r="AS12" s="29">
        <v>4073</v>
      </c>
      <c r="AT12" s="29">
        <v>4677</v>
      </c>
      <c r="AU12" s="29">
        <v>4585</v>
      </c>
      <c r="AV12" s="29">
        <v>4276</v>
      </c>
      <c r="AW12" s="29"/>
      <c r="AX12" s="31">
        <v>3097</v>
      </c>
      <c r="AY12" s="78">
        <v>0</v>
      </c>
    </row>
    <row r="13" spans="1:68" x14ac:dyDescent="0.25">
      <c r="A13" s="68" t="s">
        <v>16</v>
      </c>
      <c r="B13" s="10">
        <v>7005623640</v>
      </c>
      <c r="C13" s="10">
        <v>3002176022</v>
      </c>
      <c r="D13" s="29">
        <v>6392</v>
      </c>
      <c r="E13" s="29">
        <v>6030</v>
      </c>
      <c r="F13" s="29">
        <v>6554</v>
      </c>
      <c r="G13" s="29">
        <v>7210</v>
      </c>
      <c r="H13" s="29">
        <v>8151</v>
      </c>
      <c r="I13" s="29">
        <v>9324</v>
      </c>
      <c r="J13" s="29">
        <v>7625</v>
      </c>
      <c r="K13" s="29">
        <v>9372</v>
      </c>
      <c r="L13" s="29">
        <v>7768</v>
      </c>
      <c r="M13" s="29">
        <v>7818</v>
      </c>
      <c r="N13" s="29">
        <v>5646</v>
      </c>
      <c r="O13" s="29">
        <v>4484</v>
      </c>
      <c r="P13" s="29">
        <v>4853</v>
      </c>
      <c r="Q13" s="29">
        <v>5044</v>
      </c>
      <c r="R13" s="29">
        <v>5315</v>
      </c>
      <c r="S13" s="29">
        <v>5749</v>
      </c>
      <c r="T13" s="29">
        <v>8479</v>
      </c>
      <c r="U13" s="29">
        <v>7719</v>
      </c>
      <c r="V13" s="29">
        <v>7737</v>
      </c>
      <c r="W13" s="29">
        <v>9244</v>
      </c>
      <c r="X13" s="29">
        <v>8300</v>
      </c>
      <c r="Y13" s="29">
        <v>7206</v>
      </c>
      <c r="Z13" s="29">
        <v>7512</v>
      </c>
      <c r="AA13" s="29">
        <v>6695</v>
      </c>
      <c r="AB13" s="29">
        <v>6704</v>
      </c>
      <c r="AC13" s="29">
        <v>6486</v>
      </c>
      <c r="AD13" s="29">
        <v>6130</v>
      </c>
      <c r="AE13" s="29">
        <v>7771</v>
      </c>
      <c r="AF13" s="29">
        <v>8228</v>
      </c>
      <c r="AG13" s="29">
        <v>6255</v>
      </c>
      <c r="AH13" s="29">
        <v>6377</v>
      </c>
      <c r="AI13" s="29">
        <v>6163</v>
      </c>
      <c r="AJ13" s="29">
        <v>6120</v>
      </c>
      <c r="AK13" s="29">
        <v>6394</v>
      </c>
      <c r="AL13" s="29">
        <v>6484</v>
      </c>
      <c r="AM13" s="29">
        <v>5759</v>
      </c>
      <c r="AN13" s="29">
        <v>6007</v>
      </c>
      <c r="AO13" s="29">
        <v>5273</v>
      </c>
      <c r="AP13" s="29">
        <v>5917</v>
      </c>
      <c r="AQ13" s="29">
        <v>6615</v>
      </c>
      <c r="AR13" s="29">
        <v>6858</v>
      </c>
      <c r="AS13" s="29">
        <v>6276</v>
      </c>
      <c r="AT13" s="29">
        <v>7010</v>
      </c>
      <c r="AU13" s="29">
        <v>6369</v>
      </c>
      <c r="AV13" s="29">
        <v>6131</v>
      </c>
      <c r="AW13" s="29">
        <v>7062</v>
      </c>
      <c r="AX13" s="31">
        <v>6475</v>
      </c>
      <c r="AY13" s="78">
        <v>8587</v>
      </c>
    </row>
    <row r="14" spans="1:68" x14ac:dyDescent="0.25">
      <c r="A14" s="68" t="s">
        <v>17</v>
      </c>
      <c r="B14" s="10">
        <v>7202048247</v>
      </c>
      <c r="C14" s="10">
        <v>3003586967</v>
      </c>
      <c r="D14" s="30"/>
      <c r="E14" s="30"/>
      <c r="F14" s="30">
        <v>97</v>
      </c>
      <c r="G14" s="30">
        <v>188</v>
      </c>
      <c r="H14" s="30">
        <v>178</v>
      </c>
      <c r="I14" s="30">
        <v>204</v>
      </c>
      <c r="J14" s="30">
        <v>170</v>
      </c>
      <c r="K14" s="30">
        <v>209</v>
      </c>
      <c r="L14" s="30">
        <v>193</v>
      </c>
      <c r="M14" s="30">
        <v>169</v>
      </c>
      <c r="N14" s="30">
        <v>169</v>
      </c>
      <c r="O14" s="30">
        <v>229</v>
      </c>
      <c r="P14" s="30">
        <v>172</v>
      </c>
      <c r="Q14" s="30">
        <v>165</v>
      </c>
      <c r="R14" s="30">
        <v>207</v>
      </c>
      <c r="S14" s="30">
        <v>165</v>
      </c>
      <c r="T14" s="30">
        <v>195</v>
      </c>
      <c r="U14" s="30">
        <v>185</v>
      </c>
      <c r="V14" s="30">
        <v>184</v>
      </c>
      <c r="W14" s="30">
        <v>223</v>
      </c>
      <c r="X14" s="30">
        <v>176</v>
      </c>
      <c r="Y14" s="30">
        <v>195</v>
      </c>
      <c r="Z14" s="30">
        <v>223</v>
      </c>
      <c r="AA14" s="30">
        <v>191</v>
      </c>
      <c r="AB14" s="30">
        <v>227</v>
      </c>
      <c r="AC14" s="30">
        <v>242</v>
      </c>
      <c r="AD14" s="30">
        <v>200</v>
      </c>
      <c r="AE14" s="30">
        <v>193</v>
      </c>
      <c r="AF14" s="30">
        <v>199</v>
      </c>
      <c r="AG14" s="29">
        <v>241</v>
      </c>
      <c r="AH14" s="29">
        <v>228</v>
      </c>
      <c r="AI14" s="29">
        <v>272</v>
      </c>
      <c r="AJ14" s="29">
        <v>253</v>
      </c>
      <c r="AK14" s="29">
        <v>252</v>
      </c>
      <c r="AL14" s="29">
        <v>250</v>
      </c>
      <c r="AM14" s="29">
        <v>229</v>
      </c>
      <c r="AN14" s="29">
        <v>241</v>
      </c>
      <c r="AO14" s="29">
        <v>235</v>
      </c>
      <c r="AP14" s="29">
        <v>241</v>
      </c>
      <c r="AQ14" s="29">
        <v>276</v>
      </c>
      <c r="AR14" s="29">
        <v>281</v>
      </c>
      <c r="AS14" s="29">
        <v>238</v>
      </c>
      <c r="AT14" s="29">
        <v>261</v>
      </c>
      <c r="AU14" s="29">
        <v>266</v>
      </c>
      <c r="AV14" s="29">
        <v>203</v>
      </c>
      <c r="AW14" s="29">
        <v>322</v>
      </c>
      <c r="AX14" s="31">
        <v>289</v>
      </c>
      <c r="AY14" s="78">
        <v>151</v>
      </c>
    </row>
    <row r="15" spans="1:68" x14ac:dyDescent="0.25">
      <c r="A15" s="68" t="s">
        <v>17</v>
      </c>
      <c r="B15" s="10">
        <v>7202048247</v>
      </c>
      <c r="C15" s="10">
        <v>3000881551</v>
      </c>
      <c r="D15" s="30"/>
      <c r="E15" s="30"/>
      <c r="F15" s="30">
        <v>791</v>
      </c>
      <c r="G15" s="29">
        <v>1204</v>
      </c>
      <c r="H15" s="29">
        <v>1197</v>
      </c>
      <c r="I15" s="29">
        <v>1238</v>
      </c>
      <c r="J15" s="29">
        <v>1119</v>
      </c>
      <c r="K15" s="29">
        <v>1203</v>
      </c>
      <c r="L15" s="29">
        <v>1207</v>
      </c>
      <c r="M15" s="29">
        <v>1226</v>
      </c>
      <c r="N15" s="29">
        <v>1173</v>
      </c>
      <c r="O15" s="29">
        <v>1194</v>
      </c>
      <c r="P15" s="29">
        <v>1106</v>
      </c>
      <c r="Q15" s="29">
        <v>978</v>
      </c>
      <c r="R15" s="29">
        <v>1158</v>
      </c>
      <c r="S15" s="29">
        <v>1103</v>
      </c>
      <c r="T15" s="29">
        <v>1129</v>
      </c>
      <c r="U15" s="29">
        <v>1175</v>
      </c>
      <c r="V15" s="29">
        <v>1120</v>
      </c>
      <c r="W15" s="29">
        <v>1199</v>
      </c>
      <c r="X15" s="29">
        <v>1185</v>
      </c>
      <c r="Y15" s="29">
        <v>1358</v>
      </c>
      <c r="Z15" s="29">
        <v>1357</v>
      </c>
      <c r="AA15" s="29">
        <v>1262</v>
      </c>
      <c r="AB15" s="29">
        <v>1484</v>
      </c>
      <c r="AC15" s="29">
        <v>1330</v>
      </c>
      <c r="AD15" s="29">
        <v>1435</v>
      </c>
      <c r="AE15" s="29">
        <v>1349</v>
      </c>
      <c r="AF15" s="29">
        <v>1308</v>
      </c>
      <c r="AG15" s="29">
        <v>1304</v>
      </c>
      <c r="AH15" s="29">
        <v>1253</v>
      </c>
      <c r="AI15" s="29">
        <v>1558</v>
      </c>
      <c r="AJ15" s="29">
        <v>1259</v>
      </c>
      <c r="AK15" s="29">
        <v>1294</v>
      </c>
      <c r="AL15" s="29">
        <v>1454</v>
      </c>
      <c r="AM15" s="29">
        <v>1501</v>
      </c>
      <c r="AN15" s="29">
        <v>1501</v>
      </c>
      <c r="AO15" s="29">
        <v>1486</v>
      </c>
      <c r="AP15" s="29">
        <v>1405</v>
      </c>
      <c r="AQ15" s="29">
        <v>1386</v>
      </c>
      <c r="AR15" s="29">
        <v>1321</v>
      </c>
      <c r="AS15" s="29">
        <v>1417</v>
      </c>
      <c r="AT15" s="29">
        <v>1442</v>
      </c>
      <c r="AU15" s="29">
        <v>1406</v>
      </c>
      <c r="AV15" s="29">
        <v>1407</v>
      </c>
      <c r="AW15" s="29">
        <v>1460</v>
      </c>
      <c r="AX15" s="31">
        <v>1514</v>
      </c>
      <c r="AY15" s="78">
        <v>0</v>
      </c>
    </row>
    <row r="16" spans="1:68" x14ac:dyDescent="0.25">
      <c r="A16" s="68" t="s">
        <v>18</v>
      </c>
      <c r="B16" s="10">
        <v>7005634342</v>
      </c>
      <c r="C16" s="10">
        <v>3002906805</v>
      </c>
      <c r="D16" s="29">
        <v>1680</v>
      </c>
      <c r="E16" s="29">
        <v>1720</v>
      </c>
      <c r="F16" s="29">
        <v>1760</v>
      </c>
      <c r="G16" s="29">
        <v>1760</v>
      </c>
      <c r="H16" s="29">
        <v>1680</v>
      </c>
      <c r="I16" s="29">
        <v>1920</v>
      </c>
      <c r="J16" s="29">
        <v>1560</v>
      </c>
      <c r="K16" s="29">
        <v>1680</v>
      </c>
      <c r="L16" s="29">
        <v>2600</v>
      </c>
      <c r="M16" s="29">
        <v>1680</v>
      </c>
      <c r="N16" s="29">
        <v>2240</v>
      </c>
      <c r="O16" s="29">
        <v>1360</v>
      </c>
      <c r="P16" s="29">
        <v>1560</v>
      </c>
      <c r="Q16" s="29">
        <v>1760</v>
      </c>
      <c r="R16" s="29">
        <v>2680</v>
      </c>
      <c r="S16" s="29">
        <v>2520</v>
      </c>
      <c r="T16" s="29">
        <v>3160</v>
      </c>
      <c r="U16" s="29">
        <v>2800</v>
      </c>
      <c r="V16" s="29">
        <v>1840</v>
      </c>
      <c r="W16" s="29">
        <v>2680</v>
      </c>
      <c r="X16" s="29">
        <v>2960</v>
      </c>
      <c r="Y16" s="29">
        <v>3320</v>
      </c>
      <c r="Z16" s="29">
        <v>3120</v>
      </c>
      <c r="AA16" s="29">
        <v>2400</v>
      </c>
      <c r="AB16" s="29">
        <v>2440</v>
      </c>
      <c r="AC16" s="29">
        <v>2720</v>
      </c>
      <c r="AD16" s="29">
        <v>3040</v>
      </c>
      <c r="AE16" s="29">
        <v>3160</v>
      </c>
      <c r="AF16" s="29">
        <v>3120</v>
      </c>
      <c r="AG16" s="29">
        <v>3080</v>
      </c>
      <c r="AH16" s="29">
        <v>2560</v>
      </c>
      <c r="AI16" s="29">
        <v>2000</v>
      </c>
      <c r="AJ16" s="29">
        <v>2400</v>
      </c>
      <c r="AK16" s="29">
        <v>2600</v>
      </c>
      <c r="AL16" s="29">
        <v>2560</v>
      </c>
      <c r="AM16" s="29">
        <v>2640</v>
      </c>
      <c r="AN16" s="29">
        <v>2600</v>
      </c>
      <c r="AO16" s="29">
        <v>2400</v>
      </c>
      <c r="AP16" s="29">
        <v>2320</v>
      </c>
      <c r="AQ16" s="29">
        <v>2400</v>
      </c>
      <c r="AR16" s="29">
        <v>2360</v>
      </c>
      <c r="AS16" s="29">
        <v>3000</v>
      </c>
      <c r="AT16" s="29">
        <v>3040</v>
      </c>
      <c r="AU16" s="29">
        <v>2480</v>
      </c>
      <c r="AV16" s="29">
        <v>2640</v>
      </c>
      <c r="AW16" s="29">
        <v>2880</v>
      </c>
      <c r="AX16" s="31">
        <v>2707</v>
      </c>
      <c r="AY16" s="78">
        <v>3932</v>
      </c>
      <c r="AZ16" s="128" t="s">
        <v>75</v>
      </c>
      <c r="BA16" s="129">
        <v>45063</v>
      </c>
      <c r="BB16" s="129">
        <v>45074</v>
      </c>
    </row>
    <row r="17" spans="1:54" x14ac:dyDescent="0.25">
      <c r="A17" s="68" t="s">
        <v>19</v>
      </c>
      <c r="B17" s="10">
        <v>7000047224</v>
      </c>
      <c r="C17" s="10">
        <v>3001450247</v>
      </c>
      <c r="D17" s="29">
        <v>2669</v>
      </c>
      <c r="E17" s="29">
        <v>2402</v>
      </c>
      <c r="F17" s="29">
        <v>2575</v>
      </c>
      <c r="G17" s="29">
        <v>3342</v>
      </c>
      <c r="H17" s="29">
        <v>3646</v>
      </c>
      <c r="I17" s="29">
        <v>5223</v>
      </c>
      <c r="J17" s="29">
        <v>3518</v>
      </c>
      <c r="K17" s="29">
        <v>5056</v>
      </c>
      <c r="L17" s="29">
        <v>4119</v>
      </c>
      <c r="M17" s="29">
        <v>3686</v>
      </c>
      <c r="N17" s="29">
        <v>1949</v>
      </c>
      <c r="O17" s="29">
        <v>1421</v>
      </c>
      <c r="P17" s="29">
        <v>1676</v>
      </c>
      <c r="Q17" s="29">
        <v>1664</v>
      </c>
      <c r="R17" s="29">
        <v>2026</v>
      </c>
      <c r="S17" s="29">
        <v>2162</v>
      </c>
      <c r="T17" s="29">
        <v>3512</v>
      </c>
      <c r="U17" s="29">
        <v>3140</v>
      </c>
      <c r="V17" s="29">
        <v>3231</v>
      </c>
      <c r="W17" s="29">
        <v>4515</v>
      </c>
      <c r="X17" s="29">
        <v>4033</v>
      </c>
      <c r="Y17" s="29">
        <v>2909</v>
      </c>
      <c r="Z17" s="29">
        <v>2052</v>
      </c>
      <c r="AA17" s="29">
        <v>2058</v>
      </c>
      <c r="AB17" s="29">
        <v>2396</v>
      </c>
      <c r="AC17" s="29">
        <v>2012</v>
      </c>
      <c r="AD17" s="29">
        <v>2085</v>
      </c>
      <c r="AE17" s="29">
        <v>2865</v>
      </c>
      <c r="AF17" s="29">
        <v>3438</v>
      </c>
      <c r="AG17" s="29">
        <v>3211</v>
      </c>
      <c r="AH17" s="29">
        <v>3408</v>
      </c>
      <c r="AI17" s="29">
        <v>2532</v>
      </c>
      <c r="AJ17" s="29">
        <v>3066</v>
      </c>
      <c r="AK17" s="29">
        <v>3763</v>
      </c>
      <c r="AL17" s="29">
        <v>3574</v>
      </c>
      <c r="AM17" s="29">
        <v>2361</v>
      </c>
      <c r="AN17" s="29">
        <v>1798</v>
      </c>
      <c r="AO17" s="29">
        <v>1680</v>
      </c>
      <c r="AP17" s="29">
        <v>1946</v>
      </c>
      <c r="AQ17" s="29">
        <v>2006</v>
      </c>
      <c r="AR17" s="29">
        <v>2731</v>
      </c>
      <c r="AS17" s="29">
        <v>2673</v>
      </c>
      <c r="AT17" s="29">
        <v>2628</v>
      </c>
      <c r="AU17" s="29">
        <v>2563</v>
      </c>
      <c r="AV17" s="29">
        <v>2565</v>
      </c>
      <c r="AW17" s="29">
        <v>2524</v>
      </c>
      <c r="AX17" s="31">
        <v>2996</v>
      </c>
      <c r="AY17" s="78">
        <v>604</v>
      </c>
    </row>
    <row r="18" spans="1:54" x14ac:dyDescent="0.25">
      <c r="A18" s="68" t="s">
        <v>20</v>
      </c>
      <c r="B18" s="10">
        <v>7202360028</v>
      </c>
      <c r="C18" s="10">
        <v>3012107385</v>
      </c>
      <c r="D18" s="30">
        <v>300</v>
      </c>
      <c r="E18" s="30">
        <v>300</v>
      </c>
      <c r="F18" s="30">
        <v>300</v>
      </c>
      <c r="G18" s="30">
        <v>300</v>
      </c>
      <c r="H18" s="30">
        <v>300</v>
      </c>
      <c r="I18" s="30">
        <v>300</v>
      </c>
      <c r="J18" s="30">
        <v>300</v>
      </c>
      <c r="K18" s="30">
        <v>300</v>
      </c>
      <c r="L18" s="30">
        <v>300</v>
      </c>
      <c r="M18" s="30">
        <v>300</v>
      </c>
      <c r="N18" s="30">
        <v>300</v>
      </c>
      <c r="O18" s="30">
        <v>300</v>
      </c>
      <c r="P18" s="30">
        <v>300</v>
      </c>
      <c r="Q18" s="30">
        <v>300</v>
      </c>
      <c r="R18" s="30">
        <v>300</v>
      </c>
      <c r="S18" s="30">
        <v>300</v>
      </c>
      <c r="T18" s="30">
        <v>300</v>
      </c>
      <c r="U18" s="30">
        <v>411</v>
      </c>
      <c r="V18" s="30">
        <v>428</v>
      </c>
      <c r="W18" s="30">
        <v>477</v>
      </c>
      <c r="X18" s="30">
        <v>450</v>
      </c>
      <c r="Y18" s="30">
        <v>313</v>
      </c>
      <c r="Z18" s="30">
        <v>363</v>
      </c>
      <c r="AA18" s="30">
        <v>251</v>
      </c>
      <c r="AB18" s="30">
        <v>352</v>
      </c>
      <c r="AC18" s="30">
        <v>547</v>
      </c>
      <c r="AD18" s="30">
        <v>647</v>
      </c>
      <c r="AE18" s="30">
        <v>467</v>
      </c>
      <c r="AF18" s="30">
        <v>701</v>
      </c>
      <c r="AG18" s="29">
        <v>593</v>
      </c>
      <c r="AH18" s="30">
        <v>657</v>
      </c>
      <c r="AI18" s="30">
        <v>583</v>
      </c>
      <c r="AJ18" s="30">
        <v>646</v>
      </c>
      <c r="AK18" s="30">
        <v>452</v>
      </c>
      <c r="AL18" s="30">
        <v>197</v>
      </c>
      <c r="AM18" s="30">
        <v>429</v>
      </c>
      <c r="AN18" s="30">
        <v>357</v>
      </c>
      <c r="AO18" s="29">
        <v>397</v>
      </c>
      <c r="AP18" s="29">
        <v>362</v>
      </c>
      <c r="AQ18" s="29">
        <v>415</v>
      </c>
      <c r="AR18" s="29">
        <v>480</v>
      </c>
      <c r="AS18" s="29">
        <v>464</v>
      </c>
      <c r="AT18" s="29">
        <v>497</v>
      </c>
      <c r="AU18" s="29">
        <v>441</v>
      </c>
      <c r="AV18" s="29">
        <v>526</v>
      </c>
      <c r="AW18" s="29">
        <v>668</v>
      </c>
      <c r="AX18" s="31">
        <v>534</v>
      </c>
      <c r="AY18" s="78">
        <v>3139</v>
      </c>
    </row>
    <row r="19" spans="1:54" x14ac:dyDescent="0.25">
      <c r="A19" s="68" t="s">
        <v>86</v>
      </c>
      <c r="B19" s="10">
        <v>7201768092</v>
      </c>
      <c r="C19" s="10">
        <v>3009018668</v>
      </c>
      <c r="D19" s="29">
        <v>28467</v>
      </c>
      <c r="E19" s="29">
        <v>28350</v>
      </c>
      <c r="F19" s="29">
        <v>30683</v>
      </c>
      <c r="G19" s="29">
        <v>31733</v>
      </c>
      <c r="H19" s="29">
        <v>36167</v>
      </c>
      <c r="I19" s="29">
        <v>33950</v>
      </c>
      <c r="J19" s="29">
        <v>27300</v>
      </c>
      <c r="K19" s="29">
        <v>18317</v>
      </c>
      <c r="L19" s="29">
        <v>31267</v>
      </c>
      <c r="M19" s="29">
        <v>33367</v>
      </c>
      <c r="N19" s="29">
        <v>31033</v>
      </c>
      <c r="O19" s="29">
        <v>34650</v>
      </c>
      <c r="P19" s="29">
        <v>35000</v>
      </c>
      <c r="Q19" s="29">
        <v>35000</v>
      </c>
      <c r="R19" s="29">
        <v>35000</v>
      </c>
      <c r="S19" s="29">
        <v>20000</v>
      </c>
      <c r="T19" s="29">
        <v>20000</v>
      </c>
      <c r="U19" s="29">
        <v>11600</v>
      </c>
      <c r="V19" s="29">
        <v>11600</v>
      </c>
      <c r="W19" s="29">
        <v>12150</v>
      </c>
      <c r="X19" s="29">
        <v>11800</v>
      </c>
      <c r="Y19" s="29">
        <v>11600</v>
      </c>
      <c r="Z19" s="29">
        <v>11450</v>
      </c>
      <c r="AA19" s="29">
        <v>13150</v>
      </c>
      <c r="AB19" s="29">
        <v>13850</v>
      </c>
      <c r="AC19" s="29">
        <v>13850</v>
      </c>
      <c r="AD19" s="29">
        <v>16250</v>
      </c>
      <c r="AE19" s="29">
        <v>30306</v>
      </c>
      <c r="AF19" s="29">
        <v>27807</v>
      </c>
      <c r="AG19" s="29">
        <v>27560</v>
      </c>
      <c r="AH19" s="29">
        <v>25015</v>
      </c>
      <c r="AI19" s="29">
        <v>25115</v>
      </c>
      <c r="AJ19" s="29">
        <v>24002</v>
      </c>
      <c r="AK19" s="29">
        <v>32034</v>
      </c>
      <c r="AL19" s="29">
        <v>30154</v>
      </c>
      <c r="AM19" s="29">
        <v>31283</v>
      </c>
      <c r="AN19" s="29">
        <v>27484</v>
      </c>
      <c r="AO19" s="29">
        <v>0</v>
      </c>
      <c r="AP19" s="29"/>
      <c r="AQ19" s="29"/>
      <c r="AR19" s="29"/>
      <c r="AS19" s="29"/>
      <c r="AT19" s="29"/>
      <c r="AU19" s="29"/>
      <c r="AV19" s="29"/>
      <c r="AW19" s="29"/>
      <c r="AX19" s="31" t="e">
        <v>#DIV/0!</v>
      </c>
      <c r="AY19" s="78">
        <v>0</v>
      </c>
    </row>
    <row r="20" spans="1:54" x14ac:dyDescent="0.25">
      <c r="A20" s="68" t="s">
        <v>22</v>
      </c>
      <c r="B20" s="10">
        <v>7010498067</v>
      </c>
      <c r="C20" s="49">
        <v>3013027271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>
        <v>1880</v>
      </c>
      <c r="O20" s="29">
        <v>1560</v>
      </c>
      <c r="P20" s="29">
        <v>1920</v>
      </c>
      <c r="Q20" s="29">
        <v>2120</v>
      </c>
      <c r="R20" s="29">
        <v>2480</v>
      </c>
      <c r="S20" s="29">
        <v>2840</v>
      </c>
      <c r="T20" s="29">
        <v>3320</v>
      </c>
      <c r="U20" s="29">
        <v>4520</v>
      </c>
      <c r="V20" s="29">
        <v>3360</v>
      </c>
      <c r="W20" s="29">
        <v>4720</v>
      </c>
      <c r="X20" s="29">
        <v>2880</v>
      </c>
      <c r="Y20" s="29">
        <v>2920</v>
      </c>
      <c r="Z20" s="29">
        <v>2840</v>
      </c>
      <c r="AA20" s="29">
        <v>2160</v>
      </c>
      <c r="AB20" s="29">
        <v>1680</v>
      </c>
      <c r="AC20" s="29">
        <v>2280</v>
      </c>
      <c r="AD20" s="29">
        <v>1920</v>
      </c>
      <c r="AE20" s="29">
        <v>2080</v>
      </c>
      <c r="AF20" s="29">
        <v>2600</v>
      </c>
      <c r="AG20" s="29">
        <v>2520</v>
      </c>
      <c r="AH20" s="29">
        <v>2720</v>
      </c>
      <c r="AI20" s="29">
        <v>4480</v>
      </c>
      <c r="AJ20" s="29">
        <v>5320</v>
      </c>
      <c r="AK20" s="29">
        <v>2920</v>
      </c>
      <c r="AL20" s="29">
        <v>2480</v>
      </c>
      <c r="AM20" s="29">
        <v>2120</v>
      </c>
      <c r="AN20" s="29">
        <v>1920</v>
      </c>
      <c r="AO20" s="29">
        <v>1880</v>
      </c>
      <c r="AP20" s="29">
        <v>1600</v>
      </c>
      <c r="AQ20" s="29">
        <v>2160</v>
      </c>
      <c r="AR20" s="29">
        <v>2120</v>
      </c>
      <c r="AS20" s="29">
        <v>2080</v>
      </c>
      <c r="AT20" s="29">
        <v>2120</v>
      </c>
      <c r="AU20" s="29">
        <v>4600</v>
      </c>
      <c r="AV20" s="29">
        <v>2840</v>
      </c>
      <c r="AW20" s="29">
        <v>2880</v>
      </c>
      <c r="AX20" s="31">
        <v>2880</v>
      </c>
      <c r="AY20" s="78">
        <v>0</v>
      </c>
      <c r="AZ20" s="128" t="s">
        <v>75</v>
      </c>
      <c r="BA20" s="129">
        <v>45047</v>
      </c>
      <c r="BB20" s="129">
        <v>45027</v>
      </c>
    </row>
    <row r="21" spans="1:54" x14ac:dyDescent="0.25">
      <c r="A21" s="68" t="s">
        <v>25</v>
      </c>
      <c r="B21" s="10">
        <v>7005530163</v>
      </c>
      <c r="C21" s="10">
        <v>3003562994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>
        <v>4027</v>
      </c>
      <c r="O21" s="29">
        <v>3618</v>
      </c>
      <c r="P21" s="29">
        <v>3214</v>
      </c>
      <c r="Q21" s="29">
        <v>3814</v>
      </c>
      <c r="R21" s="29">
        <v>4394</v>
      </c>
      <c r="S21" s="29">
        <v>4063</v>
      </c>
      <c r="T21" s="29">
        <v>4281</v>
      </c>
      <c r="U21" s="29">
        <v>4555</v>
      </c>
      <c r="V21" s="29">
        <v>4560</v>
      </c>
      <c r="W21" s="29">
        <v>4696</v>
      </c>
      <c r="X21" s="29">
        <v>4036</v>
      </c>
      <c r="Y21" s="29">
        <v>4610</v>
      </c>
      <c r="Z21" s="29">
        <v>4644</v>
      </c>
      <c r="AA21" s="29">
        <v>3829</v>
      </c>
      <c r="AB21" s="29">
        <v>4220</v>
      </c>
      <c r="AC21" s="29">
        <v>3983</v>
      </c>
      <c r="AD21" s="29">
        <v>4405</v>
      </c>
      <c r="AE21" s="29">
        <v>4636</v>
      </c>
      <c r="AF21" s="29">
        <v>4094</v>
      </c>
      <c r="AG21" s="29">
        <v>3972</v>
      </c>
      <c r="AH21" s="29">
        <v>3990</v>
      </c>
      <c r="AI21" s="29">
        <v>4259</v>
      </c>
      <c r="AJ21" s="29">
        <v>3533</v>
      </c>
      <c r="AK21" s="29">
        <v>4136</v>
      </c>
      <c r="AL21" s="29">
        <v>4242</v>
      </c>
      <c r="AM21" s="29">
        <v>4374</v>
      </c>
      <c r="AN21" s="29">
        <v>3762</v>
      </c>
      <c r="AO21" s="29">
        <v>3932</v>
      </c>
      <c r="AP21" s="29">
        <v>3808</v>
      </c>
      <c r="AQ21" s="29">
        <v>4268</v>
      </c>
      <c r="AR21" s="29">
        <v>3798</v>
      </c>
      <c r="AS21" s="29">
        <v>3772</v>
      </c>
      <c r="AT21" s="29">
        <v>4392</v>
      </c>
      <c r="AU21" s="29">
        <v>3761</v>
      </c>
      <c r="AV21" s="29">
        <v>3168</v>
      </c>
      <c r="AW21" s="29">
        <v>3828</v>
      </c>
      <c r="AX21" s="31">
        <v>3344</v>
      </c>
      <c r="AY21" s="78">
        <v>4862</v>
      </c>
      <c r="AZ21" s="128" t="s">
        <v>75</v>
      </c>
      <c r="BA21" s="129">
        <v>45049</v>
      </c>
      <c r="BB21" s="129">
        <v>45036</v>
      </c>
    </row>
    <row r="22" spans="1:54" x14ac:dyDescent="0.25">
      <c r="A22" s="10" t="s">
        <v>26</v>
      </c>
      <c r="B22" s="10">
        <v>7202402563</v>
      </c>
      <c r="C22" s="10">
        <v>3006700739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>
        <v>5450</v>
      </c>
      <c r="X22" s="29">
        <v>5169</v>
      </c>
      <c r="Y22" s="29">
        <v>5032</v>
      </c>
      <c r="Z22" s="29">
        <v>4835</v>
      </c>
      <c r="AA22" s="29">
        <v>3814</v>
      </c>
      <c r="AB22" s="29">
        <v>4439</v>
      </c>
      <c r="AC22" s="29">
        <v>3840</v>
      </c>
      <c r="AD22" s="29">
        <v>4163</v>
      </c>
      <c r="AE22" s="29">
        <v>4852</v>
      </c>
      <c r="AF22" s="29">
        <v>4573</v>
      </c>
      <c r="AG22" s="29">
        <v>4633</v>
      </c>
      <c r="AH22" s="29">
        <v>4226</v>
      </c>
      <c r="AI22" s="29">
        <v>4402</v>
      </c>
      <c r="AJ22" s="29">
        <v>4407</v>
      </c>
      <c r="AK22" s="29">
        <v>5001</v>
      </c>
      <c r="AL22" s="29">
        <v>4702</v>
      </c>
      <c r="AM22" s="29">
        <v>4172</v>
      </c>
      <c r="AN22" s="29">
        <v>4364</v>
      </c>
      <c r="AO22" s="29">
        <v>3782</v>
      </c>
      <c r="AP22" s="29">
        <v>4115</v>
      </c>
      <c r="AQ22" s="29">
        <v>4019</v>
      </c>
      <c r="AR22" s="29">
        <v>4133</v>
      </c>
      <c r="AS22" s="29">
        <v>3984</v>
      </c>
      <c r="AT22" s="29">
        <v>4338</v>
      </c>
      <c r="AU22" s="29">
        <v>4096</v>
      </c>
      <c r="AV22" s="29">
        <v>3880</v>
      </c>
      <c r="AW22" s="29">
        <v>4703</v>
      </c>
      <c r="AX22" s="31">
        <v>4243</v>
      </c>
      <c r="AY22" s="78">
        <v>2163</v>
      </c>
    </row>
    <row r="23" spans="1:54" x14ac:dyDescent="0.25">
      <c r="A23" s="10" t="s">
        <v>27</v>
      </c>
      <c r="B23" s="10">
        <v>7202760807</v>
      </c>
      <c r="C23" s="10">
        <v>3012940288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>
        <v>2300</v>
      </c>
      <c r="Z23" s="29">
        <v>2825</v>
      </c>
      <c r="AA23" s="29">
        <v>1947</v>
      </c>
      <c r="AB23" s="29">
        <v>1939</v>
      </c>
      <c r="AC23" s="29">
        <v>1462</v>
      </c>
      <c r="AD23" s="29">
        <v>1822</v>
      </c>
      <c r="AE23" s="29">
        <v>2491</v>
      </c>
      <c r="AF23" s="29">
        <v>2045</v>
      </c>
      <c r="AG23" s="29">
        <v>1883</v>
      </c>
      <c r="AH23" s="29">
        <v>2057</v>
      </c>
      <c r="AI23" s="29">
        <v>2032</v>
      </c>
      <c r="AJ23" s="29">
        <v>2070</v>
      </c>
      <c r="AK23" s="29">
        <v>2514</v>
      </c>
      <c r="AL23" s="29">
        <v>2551</v>
      </c>
      <c r="AM23" s="29">
        <v>1624</v>
      </c>
      <c r="AN23" s="29">
        <v>1461</v>
      </c>
      <c r="AO23" s="29">
        <v>1341</v>
      </c>
      <c r="AP23" s="29">
        <v>1749</v>
      </c>
      <c r="AQ23" s="29">
        <v>1878</v>
      </c>
      <c r="AR23" s="29">
        <v>2216</v>
      </c>
      <c r="AS23" s="29">
        <v>1892</v>
      </c>
      <c r="AT23" s="29">
        <v>2038</v>
      </c>
      <c r="AU23" s="29">
        <v>2041</v>
      </c>
      <c r="AV23" s="29">
        <v>2413</v>
      </c>
      <c r="AW23" s="29">
        <v>2408</v>
      </c>
      <c r="AX23" s="31">
        <v>2437</v>
      </c>
      <c r="AY23" s="78">
        <v>181</v>
      </c>
    </row>
    <row r="24" spans="1:54" x14ac:dyDescent="0.25">
      <c r="A24" s="10" t="s">
        <v>28</v>
      </c>
      <c r="B24" s="10">
        <v>7202482231</v>
      </c>
      <c r="C24" s="10">
        <v>3004607095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>
        <v>263</v>
      </c>
      <c r="AE24" s="29">
        <v>325</v>
      </c>
      <c r="AF24" s="50">
        <v>576</v>
      </c>
      <c r="AG24" s="50">
        <v>255</v>
      </c>
      <c r="AH24" s="50">
        <v>388</v>
      </c>
      <c r="AI24" s="50">
        <v>499</v>
      </c>
      <c r="AJ24" s="50">
        <v>585</v>
      </c>
      <c r="AK24" s="50">
        <v>564</v>
      </c>
      <c r="AL24" s="50">
        <v>703</v>
      </c>
      <c r="AM24" s="50">
        <v>469</v>
      </c>
      <c r="AN24" s="50">
        <v>273</v>
      </c>
      <c r="AO24" s="29">
        <v>273</v>
      </c>
      <c r="AP24" s="29">
        <v>251</v>
      </c>
      <c r="AQ24" s="29">
        <v>194</v>
      </c>
      <c r="AR24" s="29">
        <v>320</v>
      </c>
      <c r="AS24" s="29">
        <v>418</v>
      </c>
      <c r="AT24" s="29">
        <v>388</v>
      </c>
      <c r="AU24" s="29">
        <v>451</v>
      </c>
      <c r="AV24" s="29">
        <v>508</v>
      </c>
      <c r="AW24" s="29">
        <v>645</v>
      </c>
      <c r="AX24" s="31">
        <v>559</v>
      </c>
      <c r="AY24" s="78">
        <v>113</v>
      </c>
      <c r="AZ24" s="128" t="s">
        <v>75</v>
      </c>
      <c r="BA24" s="129">
        <v>45049</v>
      </c>
      <c r="BB24" s="129">
        <v>45036</v>
      </c>
    </row>
    <row r="25" spans="1:54" x14ac:dyDescent="0.25">
      <c r="A25" s="10" t="s">
        <v>28</v>
      </c>
      <c r="B25" s="10">
        <v>7202482231</v>
      </c>
      <c r="C25" s="10">
        <v>3005534144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50">
        <v>102</v>
      </c>
      <c r="AF25" s="50">
        <v>239</v>
      </c>
      <c r="AG25" s="50">
        <v>217</v>
      </c>
      <c r="AH25" s="50">
        <v>243</v>
      </c>
      <c r="AI25" s="50">
        <v>284</v>
      </c>
      <c r="AJ25" s="50">
        <v>289</v>
      </c>
      <c r="AK25" s="50">
        <v>300</v>
      </c>
      <c r="AL25" s="50">
        <v>304</v>
      </c>
      <c r="AM25" s="50">
        <v>283</v>
      </c>
      <c r="AN25" s="50">
        <v>196</v>
      </c>
      <c r="AO25" s="29">
        <v>197</v>
      </c>
      <c r="AP25" s="29">
        <v>175</v>
      </c>
      <c r="AQ25" s="29">
        <v>266</v>
      </c>
      <c r="AR25" s="29">
        <v>191</v>
      </c>
      <c r="AS25" s="29">
        <v>192</v>
      </c>
      <c r="AT25" s="29">
        <v>223</v>
      </c>
      <c r="AU25" s="29">
        <v>230</v>
      </c>
      <c r="AV25" s="29">
        <v>221</v>
      </c>
      <c r="AW25" s="29">
        <v>281</v>
      </c>
      <c r="AX25" s="31">
        <v>258</v>
      </c>
      <c r="AY25" s="78">
        <v>1179</v>
      </c>
      <c r="AZ25" s="128" t="s">
        <v>75</v>
      </c>
      <c r="BA25" s="129">
        <v>45052</v>
      </c>
      <c r="BB25" s="129">
        <v>45036</v>
      </c>
    </row>
    <row r="26" spans="1:54" x14ac:dyDescent="0.25">
      <c r="A26" s="10" t="s">
        <v>30</v>
      </c>
      <c r="B26" s="10">
        <v>7201768092</v>
      </c>
      <c r="C26" s="10">
        <v>3012189878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>
        <v>490</v>
      </c>
      <c r="AD26" s="29">
        <v>430</v>
      </c>
      <c r="AE26" s="50">
        <v>523</v>
      </c>
      <c r="AF26" s="50">
        <v>592</v>
      </c>
      <c r="AG26" s="50">
        <v>606</v>
      </c>
      <c r="AH26" s="50">
        <v>595</v>
      </c>
      <c r="AI26" s="50">
        <v>620</v>
      </c>
      <c r="AJ26" s="50">
        <v>718</v>
      </c>
      <c r="AK26" s="50">
        <v>823</v>
      </c>
      <c r="AL26" s="50">
        <v>749</v>
      </c>
      <c r="AM26" s="50">
        <v>750</v>
      </c>
      <c r="AN26" s="50">
        <v>741</v>
      </c>
      <c r="AO26" s="29">
        <v>543</v>
      </c>
      <c r="AP26" s="29">
        <v>603</v>
      </c>
      <c r="AQ26" s="29">
        <v>539</v>
      </c>
      <c r="AR26" s="29">
        <v>673</v>
      </c>
      <c r="AS26" s="29">
        <v>681</v>
      </c>
      <c r="AT26" s="29">
        <v>162</v>
      </c>
      <c r="AU26" s="29">
        <v>780</v>
      </c>
      <c r="AV26" s="29">
        <v>872</v>
      </c>
      <c r="AW26" s="29">
        <v>906</v>
      </c>
      <c r="AX26" s="31">
        <v>879</v>
      </c>
      <c r="AY26" s="78">
        <v>0</v>
      </c>
    </row>
    <row r="27" spans="1:54" x14ac:dyDescent="0.25">
      <c r="A27" s="10" t="s">
        <v>31</v>
      </c>
      <c r="B27" s="10">
        <v>7201768092</v>
      </c>
      <c r="C27" s="10">
        <v>3001450194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50"/>
      <c r="AF27" s="50"/>
      <c r="AG27" s="50">
        <v>29</v>
      </c>
      <c r="AH27" s="50">
        <v>26</v>
      </c>
      <c r="AI27" s="50">
        <v>77</v>
      </c>
      <c r="AJ27" s="50">
        <v>307</v>
      </c>
      <c r="AK27" s="50">
        <v>450</v>
      </c>
      <c r="AL27" s="50">
        <v>450</v>
      </c>
      <c r="AM27" s="50">
        <v>450</v>
      </c>
      <c r="AN27" s="50">
        <v>458</v>
      </c>
      <c r="AO27" s="29">
        <v>437</v>
      </c>
      <c r="AP27" s="29">
        <v>460</v>
      </c>
      <c r="AQ27" s="29">
        <v>512</v>
      </c>
      <c r="AR27" s="29">
        <v>458</v>
      </c>
      <c r="AS27" s="29">
        <v>438</v>
      </c>
      <c r="AT27" s="29">
        <v>476</v>
      </c>
      <c r="AU27" s="29">
        <v>440</v>
      </c>
      <c r="AV27" s="29">
        <v>529</v>
      </c>
      <c r="AW27" s="29">
        <v>571</v>
      </c>
      <c r="AX27" s="31">
        <v>542</v>
      </c>
      <c r="AY27" s="78">
        <v>386</v>
      </c>
      <c r="AZ27" s="128" t="s">
        <v>75</v>
      </c>
      <c r="BA27" s="129">
        <v>45057</v>
      </c>
      <c r="BB27" s="129">
        <v>45036</v>
      </c>
    </row>
    <row r="28" spans="1:54" x14ac:dyDescent="0.25">
      <c r="A28" s="10" t="s">
        <v>32</v>
      </c>
      <c r="B28" s="10">
        <v>7202360028</v>
      </c>
      <c r="C28" s="10">
        <v>3014183803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50"/>
      <c r="AF28" s="50"/>
      <c r="AG28" s="50"/>
      <c r="AH28" s="50"/>
      <c r="AI28" s="50"/>
      <c r="AJ28" s="50"/>
      <c r="AK28" s="50"/>
      <c r="AL28" s="50">
        <v>250</v>
      </c>
      <c r="AM28" s="50">
        <v>223</v>
      </c>
      <c r="AN28" s="50">
        <v>238</v>
      </c>
      <c r="AO28" s="29">
        <v>230</v>
      </c>
      <c r="AP28" s="29">
        <v>228</v>
      </c>
      <c r="AQ28" s="29">
        <v>257</v>
      </c>
      <c r="AR28" s="29">
        <v>288</v>
      </c>
      <c r="AS28" s="29">
        <v>271</v>
      </c>
      <c r="AT28" s="29">
        <v>349</v>
      </c>
      <c r="AU28" s="29">
        <v>330</v>
      </c>
      <c r="AV28" s="29">
        <v>346</v>
      </c>
      <c r="AW28" s="29">
        <v>396</v>
      </c>
      <c r="AX28" s="31">
        <v>380</v>
      </c>
      <c r="AY28" s="78">
        <v>217</v>
      </c>
    </row>
    <row r="29" spans="1:54" x14ac:dyDescent="0.25">
      <c r="A29" s="10" t="s">
        <v>33</v>
      </c>
      <c r="B29" s="10">
        <v>7005466339</v>
      </c>
      <c r="C29" s="10">
        <v>3013791114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50"/>
      <c r="AF29" s="50"/>
      <c r="AG29" s="50"/>
      <c r="AH29" s="50"/>
      <c r="AI29" s="50"/>
      <c r="AJ29" s="50"/>
      <c r="AK29" s="50"/>
      <c r="AL29" s="50"/>
      <c r="AM29" s="50"/>
      <c r="AN29" s="50">
        <v>150</v>
      </c>
      <c r="AO29" s="29">
        <v>184</v>
      </c>
      <c r="AP29" s="29">
        <v>143</v>
      </c>
      <c r="AQ29" s="29">
        <v>174</v>
      </c>
      <c r="AR29" s="29">
        <v>337</v>
      </c>
      <c r="AS29" s="29">
        <v>266</v>
      </c>
      <c r="AT29" s="29">
        <v>295</v>
      </c>
      <c r="AU29" s="29">
        <v>297</v>
      </c>
      <c r="AV29" s="29">
        <v>432</v>
      </c>
      <c r="AW29" s="29">
        <v>399</v>
      </c>
      <c r="AX29" s="31">
        <v>400</v>
      </c>
      <c r="AY29" s="78">
        <v>1163</v>
      </c>
    </row>
    <row r="30" spans="1:54" x14ac:dyDescent="0.25">
      <c r="A30" s="10" t="s">
        <v>33</v>
      </c>
      <c r="B30" s="10">
        <v>7005466339</v>
      </c>
      <c r="C30" s="10">
        <v>3002619862</v>
      </c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50"/>
      <c r="AF30" s="50"/>
      <c r="AG30" s="50"/>
      <c r="AH30" s="50"/>
      <c r="AI30" s="50"/>
      <c r="AJ30" s="50"/>
      <c r="AK30" s="50"/>
      <c r="AL30" s="50"/>
      <c r="AM30" s="50"/>
      <c r="AN30" s="50">
        <v>290</v>
      </c>
      <c r="AO30" s="29">
        <v>139</v>
      </c>
      <c r="AP30" s="29">
        <v>200</v>
      </c>
      <c r="AQ30" s="29">
        <v>222</v>
      </c>
      <c r="AR30" s="29">
        <v>400</v>
      </c>
      <c r="AS30" s="29">
        <v>452</v>
      </c>
      <c r="AT30" s="29">
        <v>531</v>
      </c>
      <c r="AU30" s="29">
        <v>415</v>
      </c>
      <c r="AV30" s="29">
        <v>804</v>
      </c>
      <c r="AW30" s="29">
        <v>1072</v>
      </c>
      <c r="AX30" s="31">
        <v>882</v>
      </c>
      <c r="AY30" s="78">
        <v>0</v>
      </c>
    </row>
    <row r="31" spans="1:54" x14ac:dyDescent="0.25">
      <c r="A31" s="10" t="s">
        <v>34</v>
      </c>
      <c r="B31" s="10">
        <v>7200135835</v>
      </c>
      <c r="C31" s="10">
        <v>3001450251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>
        <v>339</v>
      </c>
      <c r="AC31" s="29">
        <v>289</v>
      </c>
      <c r="AD31" s="29">
        <v>288</v>
      </c>
      <c r="AE31" s="50">
        <v>470</v>
      </c>
      <c r="AF31" s="50">
        <v>475</v>
      </c>
      <c r="AG31" s="50">
        <v>386</v>
      </c>
      <c r="AH31" s="50">
        <v>366</v>
      </c>
      <c r="AI31" s="50">
        <v>390</v>
      </c>
      <c r="AJ31" s="50">
        <v>433</v>
      </c>
      <c r="AK31" s="50">
        <v>541</v>
      </c>
      <c r="AL31" s="50">
        <v>547</v>
      </c>
      <c r="AM31" s="50">
        <v>390</v>
      </c>
      <c r="AN31" s="50">
        <v>336</v>
      </c>
      <c r="AO31" s="29">
        <v>332</v>
      </c>
      <c r="AP31" s="29">
        <v>378</v>
      </c>
      <c r="AQ31" s="29">
        <v>468</v>
      </c>
      <c r="AR31" s="29">
        <v>567</v>
      </c>
      <c r="AS31" s="29">
        <v>536</v>
      </c>
      <c r="AT31" s="29">
        <v>613</v>
      </c>
      <c r="AU31" s="29">
        <v>645</v>
      </c>
      <c r="AV31" s="29">
        <v>694</v>
      </c>
      <c r="AW31" s="29">
        <v>875</v>
      </c>
      <c r="AX31" s="31">
        <v>770</v>
      </c>
      <c r="AY31" s="78">
        <v>0</v>
      </c>
    </row>
    <row r="32" spans="1:54" x14ac:dyDescent="0.25">
      <c r="A32" s="10" t="s">
        <v>35</v>
      </c>
      <c r="B32" s="10">
        <v>7201768092</v>
      </c>
      <c r="C32" s="10">
        <v>3012262751</v>
      </c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50"/>
      <c r="AF32" s="50"/>
      <c r="AG32" s="50"/>
      <c r="AH32" s="50"/>
      <c r="AI32" s="50"/>
      <c r="AJ32" s="50"/>
      <c r="AK32" s="50"/>
      <c r="AL32" s="50"/>
      <c r="AM32" s="50"/>
      <c r="AN32" s="50">
        <v>500</v>
      </c>
      <c r="AO32" s="29">
        <v>236</v>
      </c>
      <c r="AP32" s="29">
        <v>264</v>
      </c>
      <c r="AQ32" s="29">
        <v>610</v>
      </c>
      <c r="AR32" s="29">
        <v>373</v>
      </c>
      <c r="AS32" s="29">
        <v>400</v>
      </c>
      <c r="AT32" s="29">
        <v>262</v>
      </c>
      <c r="AU32" s="29">
        <v>340</v>
      </c>
      <c r="AV32" s="29">
        <v>348</v>
      </c>
      <c r="AW32" s="29">
        <v>156</v>
      </c>
      <c r="AX32" s="31">
        <v>235</v>
      </c>
      <c r="AY32" s="78">
        <v>913</v>
      </c>
    </row>
    <row r="33" spans="1:54" x14ac:dyDescent="0.25">
      <c r="A33" s="10" t="s">
        <v>37</v>
      </c>
      <c r="B33" s="10">
        <v>7201768092</v>
      </c>
      <c r="C33" s="10">
        <v>3007395349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50"/>
      <c r="AF33" s="50"/>
      <c r="AG33" s="50"/>
      <c r="AH33" s="50"/>
      <c r="AI33" s="50"/>
      <c r="AJ33" s="50"/>
      <c r="AK33" s="50"/>
      <c r="AL33" s="50"/>
      <c r="AM33" s="50"/>
      <c r="AN33" s="50">
        <v>400</v>
      </c>
      <c r="AO33" s="29">
        <v>0</v>
      </c>
      <c r="AP33" s="29">
        <v>500</v>
      </c>
      <c r="AQ33" s="29">
        <v>249</v>
      </c>
      <c r="AR33" s="29">
        <v>277</v>
      </c>
      <c r="AS33" s="29">
        <v>300</v>
      </c>
      <c r="AT33" s="29">
        <v>156</v>
      </c>
      <c r="AU33" s="29">
        <v>211</v>
      </c>
      <c r="AV33" s="29">
        <v>233</v>
      </c>
      <c r="AW33" s="29">
        <v>259</v>
      </c>
      <c r="AX33" s="31">
        <v>247</v>
      </c>
      <c r="AY33" s="78">
        <v>686</v>
      </c>
    </row>
    <row r="34" spans="1:54" x14ac:dyDescent="0.25">
      <c r="A34" s="10" t="s">
        <v>38</v>
      </c>
      <c r="B34" s="10">
        <v>7201768092</v>
      </c>
      <c r="C34" s="10">
        <v>3001780367</v>
      </c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50"/>
      <c r="AF34" s="50"/>
      <c r="AG34" s="50"/>
      <c r="AH34" s="50"/>
      <c r="AI34" s="50"/>
      <c r="AJ34" s="50"/>
      <c r="AK34" s="50"/>
      <c r="AL34" s="50"/>
      <c r="AM34" s="50"/>
      <c r="AN34" s="50">
        <v>150</v>
      </c>
      <c r="AO34" s="29">
        <v>189</v>
      </c>
      <c r="AP34" s="29">
        <v>208</v>
      </c>
      <c r="AQ34" s="29">
        <v>236</v>
      </c>
      <c r="AR34" s="29">
        <v>223</v>
      </c>
      <c r="AS34" s="29">
        <v>166</v>
      </c>
      <c r="AT34" s="29">
        <v>154</v>
      </c>
      <c r="AU34" s="29">
        <v>99</v>
      </c>
      <c r="AV34" s="29">
        <v>186</v>
      </c>
      <c r="AW34" s="29">
        <v>222</v>
      </c>
      <c r="AX34" s="31">
        <v>203</v>
      </c>
      <c r="AY34" s="78">
        <v>1782</v>
      </c>
    </row>
    <row r="35" spans="1:54" x14ac:dyDescent="0.25">
      <c r="A35" s="10" t="s">
        <v>39</v>
      </c>
      <c r="B35" s="10">
        <v>7201768092</v>
      </c>
      <c r="C35" s="10">
        <v>3000914060</v>
      </c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50"/>
      <c r="AF35" s="50"/>
      <c r="AG35" s="50"/>
      <c r="AH35" s="50"/>
      <c r="AI35" s="50"/>
      <c r="AJ35" s="50"/>
      <c r="AK35" s="50"/>
      <c r="AL35" s="50"/>
      <c r="AM35" s="50"/>
      <c r="AN35" s="50">
        <v>400</v>
      </c>
      <c r="AO35" s="29">
        <v>544</v>
      </c>
      <c r="AP35" s="29">
        <v>361</v>
      </c>
      <c r="AQ35" s="29">
        <v>355</v>
      </c>
      <c r="AR35" s="29">
        <v>475</v>
      </c>
      <c r="AS35" s="29">
        <v>386</v>
      </c>
      <c r="AT35" s="29">
        <v>529</v>
      </c>
      <c r="AU35" s="29">
        <v>356</v>
      </c>
      <c r="AV35" s="29">
        <v>436</v>
      </c>
      <c r="AW35" s="29">
        <v>464</v>
      </c>
      <c r="AX35" s="31">
        <v>434</v>
      </c>
      <c r="AY35" s="78">
        <v>0</v>
      </c>
    </row>
    <row r="36" spans="1:54" x14ac:dyDescent="0.25">
      <c r="A36" s="10" t="s">
        <v>57</v>
      </c>
      <c r="B36" s="68">
        <v>7005439127</v>
      </c>
      <c r="C36" s="10">
        <v>3012512271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>
        <v>412</v>
      </c>
      <c r="AC36" s="29">
        <v>350</v>
      </c>
      <c r="AD36" s="29">
        <v>394</v>
      </c>
      <c r="AE36" s="50">
        <v>410</v>
      </c>
      <c r="AF36" s="50">
        <v>395</v>
      </c>
      <c r="AG36" s="50">
        <v>319</v>
      </c>
      <c r="AH36" s="50">
        <v>313</v>
      </c>
      <c r="AI36" s="50">
        <v>459</v>
      </c>
      <c r="AJ36" s="50">
        <v>418</v>
      </c>
      <c r="AK36" s="50">
        <v>415</v>
      </c>
      <c r="AL36" s="50">
        <v>389</v>
      </c>
      <c r="AM36" s="50">
        <v>453</v>
      </c>
      <c r="AN36" s="50">
        <v>485</v>
      </c>
      <c r="AO36" s="50">
        <v>315</v>
      </c>
      <c r="AP36" s="50">
        <v>307</v>
      </c>
      <c r="AQ36" s="50">
        <v>387</v>
      </c>
      <c r="AR36" s="50">
        <v>348</v>
      </c>
      <c r="AS36" s="50">
        <v>381</v>
      </c>
      <c r="AT36" s="50">
        <v>406</v>
      </c>
      <c r="AU36" s="50">
        <v>473</v>
      </c>
      <c r="AV36" s="50">
        <v>468</v>
      </c>
      <c r="AW36" s="50">
        <v>541</v>
      </c>
      <c r="AX36" s="31">
        <v>489</v>
      </c>
      <c r="AY36" s="78">
        <v>51</v>
      </c>
      <c r="AZ36" s="128" t="s">
        <v>75</v>
      </c>
      <c r="BA36" s="129">
        <v>45049</v>
      </c>
      <c r="BB36" s="129">
        <v>45036</v>
      </c>
    </row>
    <row r="37" spans="1:54" x14ac:dyDescent="0.25">
      <c r="A37" s="10" t="s">
        <v>58</v>
      </c>
      <c r="B37" s="68">
        <v>7200317399</v>
      </c>
      <c r="C37" s="10">
        <v>3011377412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>
        <v>978</v>
      </c>
      <c r="AD37" s="29">
        <v>1194</v>
      </c>
      <c r="AE37" s="50">
        <v>1391</v>
      </c>
      <c r="AF37" s="50">
        <v>1728</v>
      </c>
      <c r="AG37" s="50">
        <v>1384</v>
      </c>
      <c r="AH37" s="50">
        <v>1202</v>
      </c>
      <c r="AI37" s="50">
        <v>1476</v>
      </c>
      <c r="AJ37" s="50">
        <v>1025</v>
      </c>
      <c r="AK37" s="50">
        <v>1182</v>
      </c>
      <c r="AL37" s="50">
        <v>1205</v>
      </c>
      <c r="AM37" s="50">
        <v>1004</v>
      </c>
      <c r="AN37" s="50">
        <v>897</v>
      </c>
      <c r="AO37" s="50">
        <v>1006</v>
      </c>
      <c r="AP37" s="50">
        <v>1049</v>
      </c>
      <c r="AQ37" s="50">
        <v>1069</v>
      </c>
      <c r="AR37" s="50">
        <v>1254</v>
      </c>
      <c r="AS37" s="50">
        <v>1180</v>
      </c>
      <c r="AT37" s="50">
        <v>1106</v>
      </c>
      <c r="AU37" s="50">
        <v>1359</v>
      </c>
      <c r="AV37" s="50">
        <v>1232</v>
      </c>
      <c r="AW37" s="50">
        <v>1393</v>
      </c>
      <c r="AX37" s="31">
        <v>1353</v>
      </c>
      <c r="AY37" s="78">
        <v>0</v>
      </c>
      <c r="AZ37" s="128" t="s">
        <v>75</v>
      </c>
      <c r="BA37" s="129">
        <v>45054</v>
      </c>
      <c r="BB37" s="129">
        <v>45036</v>
      </c>
    </row>
    <row r="38" spans="1:54" x14ac:dyDescent="0.25">
      <c r="A38" s="10" t="s">
        <v>26</v>
      </c>
      <c r="B38" s="10">
        <v>7202402563</v>
      </c>
      <c r="C38" s="10">
        <v>3012307446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50"/>
      <c r="AF38" s="50"/>
      <c r="AG38" s="50"/>
      <c r="AH38" s="50"/>
      <c r="AI38" s="50"/>
      <c r="AJ38" s="50"/>
      <c r="AK38" s="50">
        <v>9038</v>
      </c>
      <c r="AL38" s="50">
        <v>5435</v>
      </c>
      <c r="AM38" s="50">
        <v>5505</v>
      </c>
      <c r="AN38" s="50">
        <v>5499</v>
      </c>
      <c r="AO38" s="50">
        <v>4952</v>
      </c>
      <c r="AP38" s="50">
        <v>4971</v>
      </c>
      <c r="AQ38" s="50">
        <v>5017</v>
      </c>
      <c r="AR38" s="50">
        <v>3834</v>
      </c>
      <c r="AS38" s="50">
        <v>3163</v>
      </c>
      <c r="AT38" s="50">
        <v>3830</v>
      </c>
      <c r="AU38" s="50">
        <v>3327</v>
      </c>
      <c r="AV38" s="50">
        <v>3278</v>
      </c>
      <c r="AW38" s="50">
        <v>3661</v>
      </c>
      <c r="AX38" s="31">
        <v>2547</v>
      </c>
      <c r="AY38" s="78">
        <v>4797</v>
      </c>
      <c r="AZ38" s="128" t="s">
        <v>75</v>
      </c>
      <c r="BA38" s="129">
        <v>45057</v>
      </c>
      <c r="BB38" s="129">
        <v>45036</v>
      </c>
    </row>
    <row r="39" spans="1:54" x14ac:dyDescent="0.25">
      <c r="A39" s="10" t="s">
        <v>123</v>
      </c>
      <c r="B39" s="10">
        <v>7202646947</v>
      </c>
      <c r="C39" s="10">
        <v>3004256972</v>
      </c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>
        <v>5456</v>
      </c>
      <c r="AD39" s="29">
        <v>7504</v>
      </c>
      <c r="AE39" s="29">
        <v>8051</v>
      </c>
      <c r="AF39" s="29">
        <v>8046</v>
      </c>
      <c r="AG39" s="29">
        <v>7673</v>
      </c>
      <c r="AH39" s="29">
        <v>9266</v>
      </c>
      <c r="AI39" s="29">
        <v>9188</v>
      </c>
      <c r="AJ39" s="29">
        <v>9128</v>
      </c>
      <c r="AK39" s="29">
        <v>9842</v>
      </c>
      <c r="AL39" s="29">
        <v>8327</v>
      </c>
      <c r="AM39" s="29">
        <v>9309</v>
      </c>
      <c r="AN39" s="29">
        <v>8770</v>
      </c>
      <c r="AO39" s="29">
        <v>8416</v>
      </c>
      <c r="AP39" s="29">
        <v>8243</v>
      </c>
      <c r="AQ39" s="29">
        <v>9570</v>
      </c>
      <c r="AR39" s="29">
        <v>8795</v>
      </c>
      <c r="AS39" s="29">
        <v>8479</v>
      </c>
      <c r="AT39" s="29">
        <v>10474</v>
      </c>
      <c r="AU39" s="29">
        <v>9945</v>
      </c>
      <c r="AV39" s="29">
        <v>9440</v>
      </c>
      <c r="AW39" s="29">
        <v>10750</v>
      </c>
      <c r="AX39" s="31">
        <v>9946</v>
      </c>
      <c r="AY39" s="78">
        <v>3275</v>
      </c>
      <c r="AZ39" s="128" t="s">
        <v>75</v>
      </c>
      <c r="BA39" s="129">
        <v>45043</v>
      </c>
      <c r="BB39" s="129">
        <v>45036</v>
      </c>
    </row>
    <row r="40" spans="1:54" x14ac:dyDescent="0.25">
      <c r="A40" s="10" t="s">
        <v>60</v>
      </c>
      <c r="B40" s="10">
        <v>7200746623</v>
      </c>
      <c r="C40" s="10">
        <v>3002725236</v>
      </c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>
        <v>100</v>
      </c>
      <c r="AF40" s="29">
        <v>492</v>
      </c>
      <c r="AG40" s="29">
        <v>2800</v>
      </c>
      <c r="AH40" s="29">
        <v>7760</v>
      </c>
      <c r="AI40" s="29">
        <v>640</v>
      </c>
      <c r="AJ40" s="29">
        <v>2320</v>
      </c>
      <c r="AK40" s="29">
        <v>4720</v>
      </c>
      <c r="AL40" s="29">
        <v>5840</v>
      </c>
      <c r="AM40" s="29">
        <v>5640</v>
      </c>
      <c r="AN40" s="29">
        <v>5400</v>
      </c>
      <c r="AO40" s="29">
        <v>5280</v>
      </c>
      <c r="AP40" s="29">
        <v>5600</v>
      </c>
      <c r="AQ40" s="29">
        <v>5920</v>
      </c>
      <c r="AR40" s="29">
        <v>8040</v>
      </c>
      <c r="AS40" s="29">
        <v>6640</v>
      </c>
      <c r="AT40" s="29">
        <v>11520</v>
      </c>
      <c r="AU40" s="29">
        <v>8520</v>
      </c>
      <c r="AV40" s="29">
        <v>11320</v>
      </c>
      <c r="AW40" s="29">
        <v>7400</v>
      </c>
      <c r="AX40" s="31">
        <v>7720</v>
      </c>
      <c r="AY40" s="78">
        <v>0</v>
      </c>
    </row>
    <row r="41" spans="1:54" x14ac:dyDescent="0.25">
      <c r="A41" s="10" t="s">
        <v>51</v>
      </c>
      <c r="B41" s="10">
        <v>7005602485</v>
      </c>
      <c r="C41" s="10">
        <v>3003245697</v>
      </c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>
        <v>1367</v>
      </c>
      <c r="AO41" s="29">
        <v>1136</v>
      </c>
      <c r="AP41" s="29">
        <v>1300</v>
      </c>
      <c r="AQ41" s="29">
        <v>1385</v>
      </c>
      <c r="AR41" s="29"/>
      <c r="AS41" s="29"/>
      <c r="AT41" s="29">
        <v>1411</v>
      </c>
      <c r="AU41" s="29">
        <v>1344</v>
      </c>
      <c r="AV41" s="29"/>
      <c r="AW41" s="29"/>
      <c r="AX41" s="31">
        <v>1614</v>
      </c>
      <c r="AY41" s="78">
        <v>10</v>
      </c>
    </row>
    <row r="42" spans="1:54" x14ac:dyDescent="0.25">
      <c r="A42" s="10" t="s">
        <v>46</v>
      </c>
      <c r="B42" s="10">
        <v>7202649326</v>
      </c>
      <c r="C42" s="10">
        <v>3014018953</v>
      </c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>
        <v>2000</v>
      </c>
      <c r="AO42" s="29">
        <v>1560</v>
      </c>
      <c r="AP42" s="29">
        <v>1460</v>
      </c>
      <c r="AQ42" s="29">
        <v>1800</v>
      </c>
      <c r="AR42" s="29">
        <v>1480</v>
      </c>
      <c r="AS42" s="29">
        <v>1480</v>
      </c>
      <c r="AT42" s="29">
        <v>1800</v>
      </c>
      <c r="AU42" s="29">
        <v>1720</v>
      </c>
      <c r="AV42" s="29">
        <v>1880</v>
      </c>
      <c r="AW42" s="29"/>
      <c r="AX42" s="31">
        <v>2480</v>
      </c>
      <c r="AY42" s="78">
        <v>0</v>
      </c>
    </row>
    <row r="43" spans="1:54" x14ac:dyDescent="0.25">
      <c r="A43" s="10" t="s">
        <v>48</v>
      </c>
      <c r="B43" s="10">
        <v>7010221388</v>
      </c>
      <c r="C43" s="10">
        <v>3001348433</v>
      </c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>
        <v>529</v>
      </c>
      <c r="AO43" s="29">
        <v>412</v>
      </c>
      <c r="AP43" s="29">
        <v>521</v>
      </c>
      <c r="AQ43" s="29">
        <v>583</v>
      </c>
      <c r="AR43" s="29">
        <v>796</v>
      </c>
      <c r="AS43" s="29">
        <v>824</v>
      </c>
      <c r="AT43" s="29">
        <v>867</v>
      </c>
      <c r="AU43" s="29">
        <v>636</v>
      </c>
      <c r="AV43" s="29">
        <v>1007</v>
      </c>
      <c r="AW43" s="29">
        <v>1182</v>
      </c>
      <c r="AX43" s="31">
        <v>1068</v>
      </c>
      <c r="AY43" s="78">
        <v>0</v>
      </c>
      <c r="AZ43" s="128" t="s">
        <v>75</v>
      </c>
      <c r="BA43" s="129">
        <v>45057</v>
      </c>
      <c r="BB43" s="129">
        <v>45044</v>
      </c>
    </row>
    <row r="44" spans="1:54" x14ac:dyDescent="0.25">
      <c r="A44" s="10" t="s">
        <v>50</v>
      </c>
      <c r="B44" s="10">
        <v>7010540003</v>
      </c>
      <c r="C44" s="10">
        <v>3010642300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>
        <v>388</v>
      </c>
      <c r="AO44" s="29">
        <v>361</v>
      </c>
      <c r="AP44" s="29">
        <v>372</v>
      </c>
      <c r="AQ44" s="29">
        <v>405</v>
      </c>
      <c r="AR44" s="29">
        <v>423</v>
      </c>
      <c r="AS44" s="29">
        <v>398</v>
      </c>
      <c r="AT44" s="29">
        <v>508</v>
      </c>
      <c r="AU44" s="29">
        <v>380</v>
      </c>
      <c r="AV44" s="29">
        <v>425</v>
      </c>
      <c r="AW44" s="29">
        <v>539</v>
      </c>
      <c r="AX44" s="31">
        <v>445</v>
      </c>
      <c r="AY44" s="78">
        <v>431</v>
      </c>
      <c r="AZ44" s="128" t="s">
        <v>75</v>
      </c>
      <c r="BA44" s="129">
        <v>45043</v>
      </c>
      <c r="BB44" s="129">
        <v>45036</v>
      </c>
    </row>
    <row r="45" spans="1:54" x14ac:dyDescent="0.25">
      <c r="A45" s="10" t="s">
        <v>61</v>
      </c>
      <c r="B45" s="10">
        <v>7010076392</v>
      </c>
      <c r="C45" s="10">
        <v>3011515927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>
        <v>1588</v>
      </c>
      <c r="AN45" s="29">
        <v>2330</v>
      </c>
      <c r="AO45" s="29">
        <v>2080</v>
      </c>
      <c r="AP45" s="29">
        <v>1899</v>
      </c>
      <c r="AQ45" s="29">
        <v>2203</v>
      </c>
      <c r="AR45" s="29">
        <v>1652</v>
      </c>
      <c r="AS45" s="29">
        <v>1293</v>
      </c>
      <c r="AT45" s="29">
        <v>883</v>
      </c>
      <c r="AU45" s="29">
        <v>864</v>
      </c>
      <c r="AV45" s="29">
        <v>1147</v>
      </c>
      <c r="AW45" s="29">
        <v>1301</v>
      </c>
      <c r="AX45" s="31">
        <v>1271</v>
      </c>
      <c r="AY45" s="78">
        <v>0</v>
      </c>
      <c r="AZ45" s="128" t="s">
        <v>75</v>
      </c>
      <c r="BA45" s="129">
        <v>45041</v>
      </c>
      <c r="BB45" s="129">
        <v>45027</v>
      </c>
    </row>
    <row r="46" spans="1:54" x14ac:dyDescent="0.25">
      <c r="A46" s="10" t="s">
        <v>68</v>
      </c>
      <c r="B46" s="10"/>
      <c r="C46" s="10">
        <v>3000886634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>
        <v>2320</v>
      </c>
      <c r="AP46" s="29">
        <v>2183</v>
      </c>
      <c r="AQ46" s="29">
        <v>2673</v>
      </c>
      <c r="AR46" s="29">
        <v>2233</v>
      </c>
      <c r="AS46" s="29">
        <v>2364</v>
      </c>
      <c r="AT46" s="29">
        <v>2500</v>
      </c>
      <c r="AU46" s="29">
        <v>2310</v>
      </c>
      <c r="AV46" s="29">
        <v>2369</v>
      </c>
      <c r="AW46" s="29"/>
      <c r="AX46" s="31">
        <v>2638</v>
      </c>
      <c r="AY46" s="78">
        <v>0</v>
      </c>
      <c r="AZ46" s="128" t="s">
        <v>75</v>
      </c>
      <c r="BA46" s="129">
        <v>45048</v>
      </c>
      <c r="BB46" s="129">
        <v>45036</v>
      </c>
    </row>
    <row r="47" spans="1:54" x14ac:dyDescent="0.25">
      <c r="A47" s="10" t="s">
        <v>124</v>
      </c>
      <c r="B47" s="10"/>
      <c r="C47" s="10">
        <v>3000914420</v>
      </c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>
        <v>579</v>
      </c>
      <c r="AP47" s="29">
        <v>588</v>
      </c>
      <c r="AQ47" s="29">
        <v>691</v>
      </c>
      <c r="AR47" s="29">
        <v>801</v>
      </c>
      <c r="AS47" s="29">
        <v>455</v>
      </c>
      <c r="AT47" s="29">
        <v>669</v>
      </c>
      <c r="AU47" s="29">
        <v>210</v>
      </c>
      <c r="AV47" s="29">
        <v>187</v>
      </c>
      <c r="AW47" s="29">
        <v>355</v>
      </c>
      <c r="AX47" s="31">
        <v>181</v>
      </c>
      <c r="AY47" s="78">
        <v>1310</v>
      </c>
    </row>
    <row r="48" spans="1:54" x14ac:dyDescent="0.25">
      <c r="A48" s="10" t="s">
        <v>125</v>
      </c>
      <c r="B48" s="10"/>
      <c r="C48" s="10">
        <v>3005437596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>
        <v>2320</v>
      </c>
      <c r="AP48" s="29">
        <v>2960</v>
      </c>
      <c r="AQ48" s="29">
        <v>2560</v>
      </c>
      <c r="AR48" s="29"/>
      <c r="AS48" s="29"/>
      <c r="AT48" s="29">
        <v>2960</v>
      </c>
      <c r="AU48" s="29">
        <v>2640</v>
      </c>
      <c r="AV48" s="29"/>
      <c r="AW48" s="29"/>
      <c r="AX48" s="31">
        <v>1853</v>
      </c>
      <c r="AY48" s="78">
        <v>2510</v>
      </c>
      <c r="BA48" s="129"/>
    </row>
    <row r="49" spans="1:54" x14ac:dyDescent="0.25">
      <c r="A49" s="10" t="s">
        <v>126</v>
      </c>
      <c r="B49" s="10">
        <v>7005258399</v>
      </c>
      <c r="C49" s="10">
        <v>3000184598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>
        <v>1899</v>
      </c>
      <c r="AP49" s="29">
        <v>1125</v>
      </c>
      <c r="AQ49" s="29">
        <v>2165</v>
      </c>
      <c r="AR49" s="29"/>
      <c r="AS49" s="29"/>
      <c r="AT49" s="29">
        <v>3029</v>
      </c>
      <c r="AU49" s="29">
        <v>2630</v>
      </c>
      <c r="AV49" s="29">
        <v>2561</v>
      </c>
      <c r="AW49" s="29">
        <v>3084</v>
      </c>
      <c r="AX49" s="31">
        <v>2861</v>
      </c>
      <c r="AY49" s="78">
        <v>1996</v>
      </c>
      <c r="AZ49" s="128" t="s">
        <v>75</v>
      </c>
      <c r="BA49" s="129">
        <v>45038</v>
      </c>
      <c r="BB49" s="129">
        <v>45027</v>
      </c>
    </row>
    <row r="50" spans="1:54" x14ac:dyDescent="0.25">
      <c r="A50" s="10" t="s">
        <v>126</v>
      </c>
      <c r="B50" s="10">
        <v>7005258399</v>
      </c>
      <c r="C50" s="10">
        <v>3000227098</v>
      </c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>
        <v>3957</v>
      </c>
      <c r="AP50" s="29">
        <v>4671</v>
      </c>
      <c r="AQ50" s="29">
        <v>4296</v>
      </c>
      <c r="AR50" s="29"/>
      <c r="AS50" s="29"/>
      <c r="AT50" s="29">
        <v>5103</v>
      </c>
      <c r="AU50" s="29">
        <v>4604</v>
      </c>
      <c r="AV50" s="29">
        <v>4229</v>
      </c>
      <c r="AW50" s="29">
        <v>5124</v>
      </c>
      <c r="AX50" s="31">
        <v>4561</v>
      </c>
      <c r="AY50" s="78">
        <v>9716</v>
      </c>
      <c r="BA50" s="129"/>
      <c r="BB50" s="129"/>
    </row>
    <row r="51" spans="1:54" x14ac:dyDescent="0.25">
      <c r="A51" s="10" t="s">
        <v>127</v>
      </c>
      <c r="B51" s="10">
        <v>7202855145</v>
      </c>
      <c r="C51" s="10">
        <v>3003168714</v>
      </c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>
        <v>9800</v>
      </c>
      <c r="AP51" s="29">
        <v>9640</v>
      </c>
      <c r="AQ51" s="29">
        <v>10400</v>
      </c>
      <c r="AR51" s="29"/>
      <c r="AS51" s="29"/>
      <c r="AT51" s="29">
        <v>11200</v>
      </c>
      <c r="AU51" s="29">
        <v>11040</v>
      </c>
      <c r="AV51" s="29">
        <v>10160</v>
      </c>
      <c r="AW51" s="29"/>
      <c r="AX51" s="31">
        <v>10027</v>
      </c>
      <c r="AY51" s="78">
        <v>0</v>
      </c>
    </row>
    <row r="52" spans="1:54" x14ac:dyDescent="0.25">
      <c r="A52" s="10" t="s">
        <v>128</v>
      </c>
      <c r="B52" s="10">
        <v>7008603422</v>
      </c>
      <c r="C52" s="10">
        <v>3002421654</v>
      </c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>
        <v>1010</v>
      </c>
      <c r="AP52" s="29">
        <v>1042</v>
      </c>
      <c r="AQ52" s="29">
        <v>1840</v>
      </c>
      <c r="AR52" s="29"/>
      <c r="AS52" s="29"/>
      <c r="AT52" s="29">
        <v>1315</v>
      </c>
      <c r="AU52" s="29">
        <v>1132</v>
      </c>
      <c r="AV52" s="29">
        <v>1152</v>
      </c>
      <c r="AW52" s="29">
        <v>968</v>
      </c>
      <c r="AX52" s="31">
        <v>1055</v>
      </c>
      <c r="AY52" s="78">
        <v>2096</v>
      </c>
      <c r="AZ52" s="128" t="s">
        <v>75</v>
      </c>
      <c r="BA52" s="129">
        <v>45073</v>
      </c>
      <c r="BB52" s="129">
        <v>45044</v>
      </c>
    </row>
    <row r="53" spans="1:54" x14ac:dyDescent="0.25">
      <c r="A53" s="10" t="s">
        <v>129</v>
      </c>
      <c r="B53" s="10">
        <v>7201100845</v>
      </c>
      <c r="C53" s="10">
        <v>3007592986</v>
      </c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>
        <v>180</v>
      </c>
      <c r="AP53" s="29">
        <v>193</v>
      </c>
      <c r="AQ53" s="29">
        <v>205</v>
      </c>
      <c r="AR53" s="29"/>
      <c r="AS53" s="29"/>
      <c r="AT53" s="29">
        <v>324</v>
      </c>
      <c r="AU53" s="29">
        <v>238</v>
      </c>
      <c r="AV53" s="29">
        <v>192</v>
      </c>
      <c r="AW53" s="29">
        <v>260</v>
      </c>
      <c r="AX53" s="31">
        <v>255</v>
      </c>
      <c r="AY53" s="78">
        <v>75</v>
      </c>
    </row>
    <row r="54" spans="1:54" x14ac:dyDescent="0.25">
      <c r="A54" s="10" t="s">
        <v>130</v>
      </c>
      <c r="B54" s="10">
        <v>7005407157</v>
      </c>
      <c r="C54" s="10">
        <v>3002429190</v>
      </c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>
        <v>342</v>
      </c>
      <c r="AO54" s="29">
        <v>252</v>
      </c>
      <c r="AP54" s="29">
        <v>324</v>
      </c>
      <c r="AQ54" s="29"/>
      <c r="AR54" s="29"/>
      <c r="AS54" s="29"/>
      <c r="AT54" s="29">
        <v>466</v>
      </c>
      <c r="AU54" s="29">
        <v>394</v>
      </c>
      <c r="AV54" s="29">
        <v>467</v>
      </c>
      <c r="AW54" s="29">
        <v>481</v>
      </c>
      <c r="AX54" s="31">
        <v>463</v>
      </c>
      <c r="AY54" s="78">
        <v>145</v>
      </c>
    </row>
    <row r="55" spans="1:54" x14ac:dyDescent="0.25">
      <c r="A55" s="10" t="s">
        <v>130</v>
      </c>
      <c r="B55" s="10">
        <v>7005407157</v>
      </c>
      <c r="C55" s="10">
        <v>3004338248</v>
      </c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>
        <v>117</v>
      </c>
      <c r="AO55" s="29">
        <v>106</v>
      </c>
      <c r="AP55" s="29">
        <v>108</v>
      </c>
      <c r="AQ55" s="29"/>
      <c r="AR55" s="29"/>
      <c r="AS55" s="29"/>
      <c r="AT55" s="29">
        <v>143</v>
      </c>
      <c r="AU55" s="29">
        <v>224</v>
      </c>
      <c r="AV55" s="29">
        <v>129</v>
      </c>
      <c r="AW55" s="29">
        <v>136</v>
      </c>
      <c r="AX55" s="31">
        <v>134</v>
      </c>
      <c r="AY55" s="78">
        <v>178</v>
      </c>
      <c r="AZ55" s="128" t="s">
        <v>75</v>
      </c>
      <c r="BA55" s="129">
        <v>45055</v>
      </c>
      <c r="BB55" s="129">
        <v>45044</v>
      </c>
    </row>
    <row r="56" spans="1:54" x14ac:dyDescent="0.25">
      <c r="A56" s="10" t="s">
        <v>131</v>
      </c>
      <c r="B56" s="10">
        <v>7202295461</v>
      </c>
      <c r="C56" s="10">
        <v>3005563221</v>
      </c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>
        <v>1238</v>
      </c>
      <c r="AO56" s="29">
        <v>1118</v>
      </c>
      <c r="AP56" s="29">
        <v>820</v>
      </c>
      <c r="AQ56" s="29"/>
      <c r="AR56" s="29"/>
      <c r="AS56" s="29"/>
      <c r="AT56" s="29"/>
      <c r="AU56" s="29">
        <v>2000</v>
      </c>
      <c r="AV56" s="29">
        <v>1501</v>
      </c>
      <c r="AW56" s="29">
        <v>3504</v>
      </c>
      <c r="AX56" s="31">
        <v>2335</v>
      </c>
      <c r="AY56" s="78">
        <v>0</v>
      </c>
      <c r="AZ56" s="128" t="s">
        <v>75</v>
      </c>
      <c r="BA56" s="129">
        <v>45068</v>
      </c>
      <c r="BB56" s="129">
        <v>45044</v>
      </c>
    </row>
    <row r="57" spans="1:54" x14ac:dyDescent="0.25">
      <c r="A57" s="10" t="s">
        <v>132</v>
      </c>
      <c r="B57" s="10">
        <v>7003275088</v>
      </c>
      <c r="C57" s="10">
        <v>3014052549</v>
      </c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>
        <v>488</v>
      </c>
      <c r="AP57" s="29">
        <v>489</v>
      </c>
      <c r="AQ57" s="29">
        <v>436</v>
      </c>
      <c r="AR57" s="29"/>
      <c r="AS57" s="29"/>
      <c r="AT57" s="29">
        <v>677</v>
      </c>
      <c r="AU57" s="29">
        <v>574</v>
      </c>
      <c r="AV57" s="29">
        <v>602</v>
      </c>
      <c r="AW57" s="29"/>
      <c r="AX57" s="31">
        <v>690</v>
      </c>
      <c r="AY57" s="78">
        <v>23</v>
      </c>
    </row>
    <row r="58" spans="1:54" x14ac:dyDescent="0.25">
      <c r="A58" s="10" t="s">
        <v>133</v>
      </c>
      <c r="B58" s="10">
        <v>7010040729</v>
      </c>
      <c r="C58" s="10">
        <v>3010470206</v>
      </c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>
        <v>144</v>
      </c>
      <c r="AN58" s="29">
        <v>122</v>
      </c>
      <c r="AO58" s="29">
        <v>112</v>
      </c>
      <c r="AP58" s="29"/>
      <c r="AQ58" s="29"/>
      <c r="AR58" s="29"/>
      <c r="AS58" s="29"/>
      <c r="AT58" s="29">
        <v>199</v>
      </c>
      <c r="AU58" s="29">
        <v>191</v>
      </c>
      <c r="AV58" s="29">
        <v>220</v>
      </c>
      <c r="AW58" s="29">
        <v>236</v>
      </c>
      <c r="AX58" s="31">
        <v>222</v>
      </c>
      <c r="AY58" s="78">
        <v>87</v>
      </c>
    </row>
    <row r="59" spans="1:54" x14ac:dyDescent="0.25">
      <c r="A59" s="10" t="s">
        <v>134</v>
      </c>
      <c r="B59" s="10"/>
      <c r="C59" s="10">
        <v>3001346174</v>
      </c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>
        <v>270</v>
      </c>
      <c r="AU59" s="29">
        <v>353</v>
      </c>
      <c r="AV59" s="29">
        <v>304</v>
      </c>
      <c r="AW59" s="29">
        <v>345</v>
      </c>
      <c r="AX59" s="31">
        <v>298</v>
      </c>
      <c r="AY59" s="78">
        <v>159</v>
      </c>
      <c r="AZ59" s="128" t="s">
        <v>75</v>
      </c>
      <c r="BA59" s="129">
        <v>45063</v>
      </c>
      <c r="BB59" s="129">
        <v>45044</v>
      </c>
    </row>
    <row r="60" spans="1:54" x14ac:dyDescent="0.25">
      <c r="A60" s="10" t="s">
        <v>135</v>
      </c>
      <c r="B60" s="10">
        <v>7005542671</v>
      </c>
      <c r="C60" s="10">
        <v>3003413089</v>
      </c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>
        <v>5040</v>
      </c>
      <c r="AP60" s="29">
        <v>4720</v>
      </c>
      <c r="AQ60" s="29">
        <v>4240</v>
      </c>
      <c r="AR60" s="29"/>
      <c r="AS60" s="29"/>
      <c r="AT60" s="29">
        <v>4960</v>
      </c>
      <c r="AU60" s="29">
        <v>1840</v>
      </c>
      <c r="AV60" s="29">
        <v>4400</v>
      </c>
      <c r="AW60" s="29">
        <v>4320</v>
      </c>
      <c r="AX60" s="31">
        <v>4533</v>
      </c>
      <c r="AY60" s="78">
        <v>11041</v>
      </c>
      <c r="AZ60" s="128" t="s">
        <v>75</v>
      </c>
      <c r="BA60" s="129">
        <v>45052</v>
      </c>
      <c r="BB60" s="129">
        <v>45036</v>
      </c>
    </row>
    <row r="61" spans="1:54" x14ac:dyDescent="0.25">
      <c r="A61" s="10" t="s">
        <v>136</v>
      </c>
      <c r="B61" s="10">
        <v>7008805822</v>
      </c>
      <c r="C61" s="10">
        <v>3004493730</v>
      </c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>
        <v>394</v>
      </c>
      <c r="AQ61" s="29">
        <v>435</v>
      </c>
      <c r="AR61" s="29">
        <v>636</v>
      </c>
      <c r="AS61" s="29"/>
      <c r="AT61" s="29">
        <v>690</v>
      </c>
      <c r="AU61" s="29">
        <v>717</v>
      </c>
      <c r="AV61" s="29">
        <v>723</v>
      </c>
      <c r="AW61" s="29">
        <v>487</v>
      </c>
      <c r="AX61" s="31">
        <v>662</v>
      </c>
      <c r="AY61" s="78">
        <v>114</v>
      </c>
    </row>
    <row r="62" spans="1:54" x14ac:dyDescent="0.25">
      <c r="A62" s="10" t="s">
        <v>137</v>
      </c>
      <c r="B62" s="10">
        <v>7009356799</v>
      </c>
      <c r="C62" s="10">
        <v>3005316449</v>
      </c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>
        <v>321</v>
      </c>
      <c r="AP62" s="29">
        <v>300</v>
      </c>
      <c r="AQ62" s="29">
        <v>319</v>
      </c>
      <c r="AR62" s="29"/>
      <c r="AS62" s="29"/>
      <c r="AT62" s="29">
        <v>281</v>
      </c>
      <c r="AU62" s="29">
        <v>332</v>
      </c>
      <c r="AV62" s="29">
        <v>279</v>
      </c>
      <c r="AW62" s="29">
        <v>319</v>
      </c>
      <c r="AX62" s="31">
        <v>290</v>
      </c>
      <c r="AY62" s="78">
        <v>192</v>
      </c>
      <c r="AZ62" s="128" t="s">
        <v>75</v>
      </c>
      <c r="BA62" s="129">
        <v>45027</v>
      </c>
      <c r="BB62" s="129">
        <v>45036</v>
      </c>
    </row>
    <row r="63" spans="1:54" x14ac:dyDescent="0.25">
      <c r="A63" s="10" t="s">
        <v>138</v>
      </c>
      <c r="B63" s="10">
        <v>7003542687</v>
      </c>
      <c r="C63" s="10">
        <v>3003930453</v>
      </c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>
        <v>264</v>
      </c>
      <c r="AQ63" s="29">
        <v>379</v>
      </c>
      <c r="AR63" s="29">
        <v>379</v>
      </c>
      <c r="AS63" s="29"/>
      <c r="AT63" s="29">
        <v>399</v>
      </c>
      <c r="AU63" s="29">
        <v>399</v>
      </c>
      <c r="AV63" s="29">
        <v>696</v>
      </c>
      <c r="AW63" s="29">
        <v>432</v>
      </c>
      <c r="AX63" s="31">
        <v>520</v>
      </c>
      <c r="AY63" s="78">
        <v>0</v>
      </c>
      <c r="AZ63" s="128" t="s">
        <v>75</v>
      </c>
      <c r="BA63" s="129">
        <v>45063</v>
      </c>
      <c r="BB63" s="129">
        <v>45044</v>
      </c>
    </row>
    <row r="64" spans="1:54" x14ac:dyDescent="0.25">
      <c r="A64" s="10" t="s">
        <v>139</v>
      </c>
      <c r="B64" s="10">
        <v>7005303734</v>
      </c>
      <c r="C64" s="10">
        <v>3013351386</v>
      </c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>
        <v>4189</v>
      </c>
      <c r="AO64" s="29">
        <v>4500</v>
      </c>
      <c r="AP64" s="29">
        <v>3927</v>
      </c>
      <c r="AQ64" s="29"/>
      <c r="AR64" s="29"/>
      <c r="AS64" s="29"/>
      <c r="AT64" s="29">
        <v>4508</v>
      </c>
      <c r="AU64" s="29">
        <v>4141</v>
      </c>
      <c r="AV64" s="29">
        <v>3302</v>
      </c>
      <c r="AW64" s="29"/>
      <c r="AX64" s="31">
        <v>3774</v>
      </c>
      <c r="AY64" s="78">
        <v>3279</v>
      </c>
      <c r="AZ64" s="128" t="s">
        <v>75</v>
      </c>
      <c r="BA64" s="129">
        <v>45057</v>
      </c>
      <c r="BB64" s="129">
        <v>45044</v>
      </c>
    </row>
    <row r="65" spans="1:54" x14ac:dyDescent="0.25">
      <c r="A65" s="10" t="s">
        <v>140</v>
      </c>
      <c r="B65" s="10">
        <v>7003238012</v>
      </c>
      <c r="C65" s="10">
        <v>3005520597</v>
      </c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>
        <v>153</v>
      </c>
      <c r="AQ65" s="29">
        <v>177</v>
      </c>
      <c r="AR65" s="29">
        <v>198</v>
      </c>
      <c r="AS65" s="29"/>
      <c r="AT65" s="29">
        <v>222</v>
      </c>
      <c r="AU65" s="29">
        <v>185</v>
      </c>
      <c r="AV65" s="29">
        <v>224</v>
      </c>
      <c r="AW65" s="29"/>
      <c r="AX65" s="31">
        <v>294</v>
      </c>
      <c r="AY65" s="78">
        <v>384</v>
      </c>
      <c r="AZ65" s="128" t="s">
        <v>75</v>
      </c>
      <c r="BA65" s="129">
        <v>45073</v>
      </c>
      <c r="BB65" s="129">
        <v>45044</v>
      </c>
    </row>
    <row r="66" spans="1:54" x14ac:dyDescent="0.25">
      <c r="A66" s="10" t="s">
        <v>141</v>
      </c>
      <c r="B66" s="10">
        <v>7002403983</v>
      </c>
      <c r="C66" s="10">
        <v>3003167054</v>
      </c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>
        <v>207</v>
      </c>
      <c r="AQ66" s="29">
        <v>232</v>
      </c>
      <c r="AR66" s="29">
        <v>280</v>
      </c>
      <c r="AS66" s="29"/>
      <c r="AT66" s="29">
        <v>287</v>
      </c>
      <c r="AU66" s="29">
        <v>270</v>
      </c>
      <c r="AV66" s="29">
        <v>299</v>
      </c>
      <c r="AW66" s="29"/>
      <c r="AX66" s="31">
        <v>194</v>
      </c>
      <c r="AY66" s="78">
        <v>322</v>
      </c>
      <c r="BA66" s="129"/>
      <c r="BB66" s="129"/>
    </row>
    <row r="67" spans="1:54" x14ac:dyDescent="0.25">
      <c r="A67" s="10" t="s">
        <v>142</v>
      </c>
      <c r="B67" s="10">
        <v>7200666377</v>
      </c>
      <c r="C67" s="10">
        <v>3011186347</v>
      </c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>
        <v>202</v>
      </c>
      <c r="AQ67" s="29">
        <v>252</v>
      </c>
      <c r="AR67" s="29">
        <v>225</v>
      </c>
      <c r="AS67" s="29"/>
      <c r="AT67" s="29">
        <v>358</v>
      </c>
      <c r="AU67" s="29">
        <v>367</v>
      </c>
      <c r="AV67" s="29">
        <v>355</v>
      </c>
      <c r="AW67" s="29"/>
      <c r="AX67" s="31">
        <v>253</v>
      </c>
      <c r="AY67" s="78">
        <v>158</v>
      </c>
    </row>
    <row r="68" spans="1:54" x14ac:dyDescent="0.25">
      <c r="A68" s="10" t="s">
        <v>143</v>
      </c>
      <c r="B68" s="10">
        <v>7005509346</v>
      </c>
      <c r="C68" s="10">
        <v>3006683003</v>
      </c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>
        <v>379</v>
      </c>
      <c r="AQ68" s="29">
        <v>193</v>
      </c>
      <c r="AR68" s="29">
        <v>282</v>
      </c>
      <c r="AS68" s="29"/>
      <c r="AT68" s="29"/>
      <c r="AU68" s="29">
        <v>327</v>
      </c>
      <c r="AV68" s="29">
        <v>68</v>
      </c>
      <c r="AW68" s="29"/>
      <c r="AX68" s="31">
        <v>172</v>
      </c>
      <c r="AY68" s="78">
        <v>717</v>
      </c>
      <c r="AZ68" s="128" t="s">
        <v>75</v>
      </c>
      <c r="BA68" s="129">
        <v>45073</v>
      </c>
      <c r="BB68" s="129">
        <v>45044</v>
      </c>
    </row>
    <row r="69" spans="1:54" x14ac:dyDescent="0.25">
      <c r="A69" s="68" t="s">
        <v>9</v>
      </c>
      <c r="B69" s="10">
        <v>7200634170</v>
      </c>
      <c r="C69" s="10">
        <v>3014589151</v>
      </c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>
        <v>17360</v>
      </c>
      <c r="AV69" s="29">
        <v>16400</v>
      </c>
      <c r="AW69" s="29">
        <v>18800</v>
      </c>
      <c r="AX69" s="31">
        <v>17627</v>
      </c>
      <c r="AY69" s="78">
        <v>2675</v>
      </c>
      <c r="AZ69" s="128" t="s">
        <v>75</v>
      </c>
      <c r="BA69" s="129">
        <v>45063</v>
      </c>
      <c r="BB69" s="129">
        <v>45044</v>
      </c>
    </row>
    <row r="70" spans="1:54" x14ac:dyDescent="0.25">
      <c r="A70" s="68" t="s">
        <v>144</v>
      </c>
      <c r="B70" s="10">
        <v>7004577898</v>
      </c>
      <c r="C70" s="10">
        <v>3001450202</v>
      </c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>
        <v>528</v>
      </c>
      <c r="AU70" s="29">
        <v>400</v>
      </c>
      <c r="AV70" s="29">
        <v>294</v>
      </c>
      <c r="AW70" s="29"/>
      <c r="AX70" s="31">
        <v>420</v>
      </c>
      <c r="AY70" s="78">
        <v>771</v>
      </c>
      <c r="AZ70" s="128" t="s">
        <v>75</v>
      </c>
      <c r="BA70" s="129">
        <v>45051</v>
      </c>
      <c r="BB70" s="129">
        <v>45036</v>
      </c>
    </row>
    <row r="71" spans="1:54" x14ac:dyDescent="0.25">
      <c r="A71" s="68" t="s">
        <v>145</v>
      </c>
      <c r="B71" s="10">
        <v>7003340106</v>
      </c>
      <c r="C71" s="10">
        <v>3004286709</v>
      </c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>
        <v>310</v>
      </c>
      <c r="AU71" s="29">
        <v>451</v>
      </c>
      <c r="AV71" s="29">
        <v>310</v>
      </c>
      <c r="AW71" s="29"/>
      <c r="AX71" s="31">
        <v>399</v>
      </c>
      <c r="AY71" s="78">
        <v>583</v>
      </c>
      <c r="AZ71" s="128" t="s">
        <v>75</v>
      </c>
      <c r="BA71" s="129">
        <v>45051</v>
      </c>
      <c r="BB71" s="129">
        <v>45036</v>
      </c>
    </row>
    <row r="72" spans="1:54" x14ac:dyDescent="0.25">
      <c r="A72" s="68" t="s">
        <v>146</v>
      </c>
      <c r="B72" s="10">
        <v>7005236808</v>
      </c>
      <c r="C72" s="10">
        <v>3007666234</v>
      </c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>
        <v>740</v>
      </c>
      <c r="AU72" s="29">
        <v>640</v>
      </c>
      <c r="AV72" s="29">
        <v>1201</v>
      </c>
      <c r="AW72" s="29"/>
      <c r="AX72" s="31">
        <v>1234</v>
      </c>
      <c r="AY72" s="78">
        <v>0</v>
      </c>
      <c r="AZ72" s="128" t="s">
        <v>75</v>
      </c>
      <c r="BA72" s="129">
        <v>45051</v>
      </c>
      <c r="BB72" s="129">
        <v>45036</v>
      </c>
    </row>
    <row r="73" spans="1:54" x14ac:dyDescent="0.25">
      <c r="A73" s="68" t="s">
        <v>147</v>
      </c>
      <c r="B73" s="10"/>
      <c r="C73" s="10">
        <v>3000097252</v>
      </c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>
        <v>209</v>
      </c>
      <c r="AU73" s="29">
        <v>213</v>
      </c>
      <c r="AV73" s="29">
        <v>206</v>
      </c>
      <c r="AW73" s="29">
        <v>264</v>
      </c>
      <c r="AX73" s="31">
        <v>249</v>
      </c>
      <c r="AY73" s="78">
        <v>332</v>
      </c>
      <c r="AZ73" s="128" t="s">
        <v>75</v>
      </c>
      <c r="BA73" s="129">
        <v>45038</v>
      </c>
      <c r="BB73" s="129">
        <v>45027</v>
      </c>
    </row>
    <row r="74" spans="1:54" x14ac:dyDescent="0.25">
      <c r="A74" s="68" t="s">
        <v>148</v>
      </c>
      <c r="B74" s="10"/>
      <c r="C74" s="10">
        <v>3000099014</v>
      </c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>
        <v>203</v>
      </c>
      <c r="AS74" s="29">
        <v>261</v>
      </c>
      <c r="AT74" s="29">
        <v>435</v>
      </c>
      <c r="AU74" s="29">
        <v>342</v>
      </c>
      <c r="AV74" s="29">
        <v>258</v>
      </c>
      <c r="AW74" s="29">
        <v>228</v>
      </c>
      <c r="AX74" s="31">
        <v>244</v>
      </c>
      <c r="AY74" s="78">
        <v>567</v>
      </c>
      <c r="AZ74" s="128" t="s">
        <v>75</v>
      </c>
      <c r="BA74" s="129">
        <v>45038</v>
      </c>
      <c r="BB74" s="129">
        <v>45027</v>
      </c>
    </row>
    <row r="75" spans="1:54" x14ac:dyDescent="0.25">
      <c r="A75" s="68" t="s">
        <v>134</v>
      </c>
      <c r="B75" s="10"/>
      <c r="C75" s="10">
        <v>3010964524</v>
      </c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>
        <v>42</v>
      </c>
      <c r="AQ75" s="29">
        <v>104</v>
      </c>
      <c r="AR75" s="29">
        <v>111</v>
      </c>
      <c r="AS75" s="29"/>
      <c r="AT75" s="29">
        <v>116</v>
      </c>
      <c r="AU75" s="29">
        <v>72</v>
      </c>
      <c r="AV75" s="29">
        <v>32</v>
      </c>
      <c r="AW75" s="29">
        <v>40</v>
      </c>
      <c r="AX75" s="31">
        <v>65</v>
      </c>
      <c r="AY75" s="78">
        <v>200</v>
      </c>
      <c r="AZ75" s="128" t="s">
        <v>75</v>
      </c>
      <c r="BA75" s="129">
        <v>45063</v>
      </c>
      <c r="BB75" s="129">
        <v>45044</v>
      </c>
    </row>
    <row r="76" spans="1:54" x14ac:dyDescent="0.25">
      <c r="A76" s="68" t="s">
        <v>134</v>
      </c>
      <c r="B76" s="10"/>
      <c r="C76" s="10">
        <v>3002504727</v>
      </c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>
        <v>120</v>
      </c>
      <c r="AQ76" s="29">
        <v>137</v>
      </c>
      <c r="AR76" s="29">
        <v>145</v>
      </c>
      <c r="AS76" s="29"/>
      <c r="AT76" s="29">
        <v>138</v>
      </c>
      <c r="AU76" s="29">
        <v>83</v>
      </c>
      <c r="AV76" s="29">
        <v>111</v>
      </c>
      <c r="AW76" s="29">
        <v>157</v>
      </c>
      <c r="AX76" s="31">
        <v>128</v>
      </c>
      <c r="AY76" s="78">
        <v>105</v>
      </c>
      <c r="AZ76" s="128" t="s">
        <v>75</v>
      </c>
      <c r="BA76" s="129">
        <v>45063</v>
      </c>
      <c r="BB76" s="129">
        <v>45044</v>
      </c>
    </row>
    <row r="77" spans="1:54" x14ac:dyDescent="0.25">
      <c r="A77" s="68" t="s">
        <v>134</v>
      </c>
      <c r="B77" s="10"/>
      <c r="C77" s="10">
        <v>3005361089</v>
      </c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>
        <v>88</v>
      </c>
      <c r="AS77" s="29">
        <v>261</v>
      </c>
      <c r="AT77" s="29">
        <v>220</v>
      </c>
      <c r="AU77" s="29">
        <v>149</v>
      </c>
      <c r="AV77" s="29">
        <v>75</v>
      </c>
      <c r="AW77" s="29">
        <v>127</v>
      </c>
      <c r="AX77" s="31">
        <v>166</v>
      </c>
      <c r="AY77" s="78">
        <v>241</v>
      </c>
      <c r="AZ77" s="128" t="s">
        <v>75</v>
      </c>
      <c r="BA77" s="129">
        <v>45063</v>
      </c>
      <c r="BB77" s="129">
        <v>45044</v>
      </c>
    </row>
    <row r="78" spans="1:54" x14ac:dyDescent="0.25">
      <c r="A78" s="68" t="s">
        <v>149</v>
      </c>
      <c r="B78" s="10"/>
      <c r="C78" s="10">
        <v>3012123920</v>
      </c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>
        <v>305</v>
      </c>
      <c r="AS78" s="29"/>
      <c r="AT78" s="29"/>
      <c r="AU78" s="29">
        <v>541</v>
      </c>
      <c r="AV78" s="29">
        <v>265</v>
      </c>
      <c r="AW78" s="29">
        <v>387</v>
      </c>
      <c r="AX78" s="31">
        <v>336</v>
      </c>
      <c r="AY78" s="78">
        <v>610</v>
      </c>
      <c r="AZ78" s="128" t="s">
        <v>75</v>
      </c>
      <c r="BA78" s="129">
        <v>45068</v>
      </c>
      <c r="BB78" s="129">
        <v>45044</v>
      </c>
    </row>
    <row r="79" spans="1:54" x14ac:dyDescent="0.25">
      <c r="A79" s="68" t="s">
        <v>150</v>
      </c>
      <c r="B79" s="10"/>
      <c r="C79" s="10">
        <v>3003701876</v>
      </c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>
        <v>620</v>
      </c>
      <c r="AQ79" s="29">
        <v>888</v>
      </c>
      <c r="AR79" s="29">
        <v>953</v>
      </c>
      <c r="AS79" s="29"/>
      <c r="AT79" s="29">
        <v>921</v>
      </c>
      <c r="AU79" s="29">
        <v>1364</v>
      </c>
      <c r="AV79" s="29">
        <v>1598</v>
      </c>
      <c r="AW79" s="29">
        <v>1966</v>
      </c>
      <c r="AX79" s="31">
        <v>1783</v>
      </c>
      <c r="AY79" s="78">
        <v>0</v>
      </c>
      <c r="AZ79" s="128" t="s">
        <v>75</v>
      </c>
      <c r="BA79" s="129">
        <v>45063</v>
      </c>
      <c r="BB79" s="129">
        <v>45044</v>
      </c>
    </row>
    <row r="80" spans="1:54" x14ac:dyDescent="0.25">
      <c r="A80" s="68" t="s">
        <v>151</v>
      </c>
      <c r="B80" s="10"/>
      <c r="C80" s="10">
        <v>3014448834</v>
      </c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>
        <v>211</v>
      </c>
      <c r="AR80" s="29">
        <v>190</v>
      </c>
      <c r="AS80" s="29">
        <v>176</v>
      </c>
      <c r="AT80" s="29">
        <v>178</v>
      </c>
      <c r="AU80" s="29">
        <v>214</v>
      </c>
      <c r="AV80" s="29">
        <v>166</v>
      </c>
      <c r="AW80" s="29"/>
      <c r="AX80" s="31">
        <v>190</v>
      </c>
      <c r="AY80" s="78">
        <v>56</v>
      </c>
    </row>
    <row r="81" spans="1:54" x14ac:dyDescent="0.25">
      <c r="A81" s="68" t="s">
        <v>152</v>
      </c>
      <c r="B81" s="10"/>
      <c r="C81" s="10">
        <v>3011850238</v>
      </c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>
        <v>218</v>
      </c>
      <c r="AR81" s="29">
        <v>178</v>
      </c>
      <c r="AS81" s="29">
        <v>171</v>
      </c>
      <c r="AT81" s="29">
        <v>216</v>
      </c>
      <c r="AU81" s="29">
        <v>189</v>
      </c>
      <c r="AV81" s="29">
        <v>193</v>
      </c>
      <c r="AW81" s="29">
        <v>213</v>
      </c>
      <c r="AX81" s="31">
        <v>189</v>
      </c>
      <c r="AY81" s="78">
        <v>280</v>
      </c>
      <c r="AZ81" s="128" t="s">
        <v>75</v>
      </c>
      <c r="BA81" s="129">
        <v>45052</v>
      </c>
      <c r="BB81" s="129">
        <v>45036</v>
      </c>
    </row>
    <row r="82" spans="1:54" x14ac:dyDescent="0.25">
      <c r="A82" s="68" t="s">
        <v>153</v>
      </c>
      <c r="B82" s="10"/>
      <c r="C82" s="10">
        <v>3010477511</v>
      </c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>
        <v>1097</v>
      </c>
      <c r="AS82" s="29">
        <v>1055</v>
      </c>
      <c r="AT82" s="29">
        <v>1122</v>
      </c>
      <c r="AU82" s="29">
        <v>865</v>
      </c>
      <c r="AV82" s="29">
        <v>835</v>
      </c>
      <c r="AW82" s="29">
        <v>932</v>
      </c>
      <c r="AX82" s="31">
        <v>882</v>
      </c>
      <c r="AY82" s="78">
        <v>809</v>
      </c>
      <c r="AZ82" s="128" t="s">
        <v>75</v>
      </c>
      <c r="BA82" s="129">
        <v>45057</v>
      </c>
      <c r="BB82" s="129">
        <v>45036</v>
      </c>
    </row>
    <row r="83" spans="1:54" x14ac:dyDescent="0.25">
      <c r="A83" s="68" t="s">
        <v>154</v>
      </c>
      <c r="B83" s="10"/>
      <c r="C83" s="10">
        <v>3011681338</v>
      </c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>
        <v>5200</v>
      </c>
      <c r="AQ83" s="29">
        <v>11520</v>
      </c>
      <c r="AR83" s="29">
        <v>11360</v>
      </c>
      <c r="AS83" s="29"/>
      <c r="AT83" s="29"/>
      <c r="AU83" s="29">
        <v>10960</v>
      </c>
      <c r="AV83" s="29">
        <v>15320</v>
      </c>
      <c r="AW83" s="29">
        <v>10960</v>
      </c>
      <c r="AX83" s="31">
        <v>12387</v>
      </c>
      <c r="AY83" s="78">
        <v>6780</v>
      </c>
      <c r="AZ83" s="129" t="s">
        <v>75</v>
      </c>
      <c r="BA83" s="129">
        <v>45094</v>
      </c>
      <c r="BB83" s="129">
        <v>45074</v>
      </c>
    </row>
    <row r="84" spans="1:54" x14ac:dyDescent="0.25">
      <c r="A84" s="68" t="s">
        <v>154</v>
      </c>
      <c r="B84" s="10"/>
      <c r="C84" s="10">
        <v>3004244761</v>
      </c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>
        <v>882</v>
      </c>
      <c r="AQ84" s="29">
        <v>882</v>
      </c>
      <c r="AR84" s="29"/>
      <c r="AS84" s="29"/>
      <c r="AT84" s="29"/>
      <c r="AU84" s="29">
        <v>1052</v>
      </c>
      <c r="AV84" s="29">
        <v>1071</v>
      </c>
      <c r="AW84" s="29">
        <v>1025</v>
      </c>
      <c r="AX84" s="31">
        <v>1060</v>
      </c>
      <c r="AY84" s="78">
        <v>1348</v>
      </c>
      <c r="AZ84" s="129" t="s">
        <v>75</v>
      </c>
      <c r="BA84" s="129">
        <v>45094</v>
      </c>
      <c r="BB84" s="129">
        <v>45074</v>
      </c>
    </row>
    <row r="85" spans="1:54" x14ac:dyDescent="0.25">
      <c r="A85" s="68" t="s">
        <v>155</v>
      </c>
      <c r="B85" s="10"/>
      <c r="C85" s="10">
        <v>3006732798</v>
      </c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>
        <v>651</v>
      </c>
      <c r="AR85" s="29">
        <v>785</v>
      </c>
      <c r="AS85" s="29">
        <v>1168</v>
      </c>
      <c r="AT85" s="29"/>
      <c r="AU85" s="29">
        <v>922</v>
      </c>
      <c r="AV85" s="29">
        <v>982</v>
      </c>
      <c r="AW85" s="29">
        <v>2450</v>
      </c>
      <c r="AX85" s="31">
        <v>1705</v>
      </c>
      <c r="AY85" s="78">
        <v>753</v>
      </c>
      <c r="AZ85" s="128" t="s">
        <v>75</v>
      </c>
      <c r="BA85" s="129">
        <v>45063</v>
      </c>
      <c r="BB85" s="129">
        <v>45044</v>
      </c>
    </row>
    <row r="86" spans="1:54" x14ac:dyDescent="0.25">
      <c r="A86" s="68" t="s">
        <v>156</v>
      </c>
      <c r="B86" s="10"/>
      <c r="C86" s="10">
        <v>3013175523</v>
      </c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>
        <v>5858</v>
      </c>
      <c r="AR86" s="29">
        <v>5820</v>
      </c>
      <c r="AS86" s="29">
        <v>4441</v>
      </c>
      <c r="AT86" s="29"/>
      <c r="AU86" s="29">
        <v>1499</v>
      </c>
      <c r="AV86" s="29">
        <v>4186</v>
      </c>
      <c r="AW86" s="29">
        <v>5338</v>
      </c>
      <c r="AX86" s="31">
        <v>4005</v>
      </c>
      <c r="AY86" s="78">
        <v>19960</v>
      </c>
      <c r="AZ86" s="128" t="s">
        <v>75</v>
      </c>
      <c r="BA86" s="129">
        <v>45052</v>
      </c>
      <c r="BB86" s="129">
        <v>45036</v>
      </c>
    </row>
    <row r="87" spans="1:54" x14ac:dyDescent="0.25">
      <c r="A87" s="68" t="s">
        <v>157</v>
      </c>
      <c r="B87" s="10"/>
      <c r="C87" s="10">
        <v>3000098875</v>
      </c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>
        <v>120</v>
      </c>
      <c r="AS87" s="29">
        <v>137</v>
      </c>
      <c r="AT87" s="29">
        <v>134</v>
      </c>
      <c r="AU87" s="29">
        <v>134</v>
      </c>
      <c r="AV87" s="29">
        <v>125</v>
      </c>
      <c r="AW87" s="29">
        <v>135</v>
      </c>
      <c r="AX87" s="31">
        <v>153</v>
      </c>
      <c r="AY87" s="78">
        <v>33</v>
      </c>
      <c r="AZ87" s="128" t="s">
        <v>75</v>
      </c>
      <c r="BA87" s="129">
        <v>45052</v>
      </c>
      <c r="BB87" s="129">
        <v>45027</v>
      </c>
    </row>
    <row r="88" spans="1:54" x14ac:dyDescent="0.25">
      <c r="A88" s="68" t="s">
        <v>158</v>
      </c>
      <c r="B88" s="10"/>
      <c r="C88" s="10">
        <v>3007515476</v>
      </c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>
        <v>322</v>
      </c>
      <c r="AU88" s="29">
        <v>506</v>
      </c>
      <c r="AV88" s="29">
        <v>502</v>
      </c>
      <c r="AW88" s="29">
        <v>621</v>
      </c>
      <c r="AX88" s="31">
        <v>555</v>
      </c>
      <c r="AY88" s="78">
        <v>0</v>
      </c>
      <c r="AZ88" s="128" t="s">
        <v>75</v>
      </c>
      <c r="BA88" s="129">
        <v>45063</v>
      </c>
      <c r="BB88" s="129">
        <v>45044</v>
      </c>
    </row>
    <row r="89" spans="1:54" x14ac:dyDescent="0.25">
      <c r="A89" s="68" t="s">
        <v>159</v>
      </c>
      <c r="B89" s="10">
        <v>7009914031</v>
      </c>
      <c r="C89" s="10">
        <v>3007698929</v>
      </c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>
        <v>229</v>
      </c>
      <c r="AP89" s="29">
        <v>237</v>
      </c>
      <c r="AQ89" s="29">
        <v>273</v>
      </c>
      <c r="AR89" s="29"/>
      <c r="AS89" s="29"/>
      <c r="AT89" s="29"/>
      <c r="AU89" s="29">
        <v>172</v>
      </c>
      <c r="AV89" s="29">
        <v>158</v>
      </c>
      <c r="AW89" s="29">
        <v>160</v>
      </c>
      <c r="AX89" s="31">
        <v>158</v>
      </c>
      <c r="AY89" s="78">
        <v>260</v>
      </c>
      <c r="AZ89" s="128" t="s">
        <v>75</v>
      </c>
      <c r="BA89" s="129">
        <v>45068</v>
      </c>
      <c r="BB89" s="129">
        <v>45044</v>
      </c>
    </row>
    <row r="90" spans="1:54" x14ac:dyDescent="0.25">
      <c r="A90" s="68" t="s">
        <v>160</v>
      </c>
      <c r="B90" s="10">
        <v>7009992625</v>
      </c>
      <c r="C90" s="10">
        <v>3007206715</v>
      </c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>
        <v>1284</v>
      </c>
      <c r="AQ90" s="29">
        <v>1515</v>
      </c>
      <c r="AR90" s="29">
        <v>1438</v>
      </c>
      <c r="AS90" s="29"/>
      <c r="AT90" s="29"/>
      <c r="AU90" s="29">
        <v>1472</v>
      </c>
      <c r="AV90" s="29">
        <v>1422</v>
      </c>
      <c r="AW90" s="29">
        <v>1540</v>
      </c>
      <c r="AX90" s="31">
        <v>1437</v>
      </c>
      <c r="AY90" s="78">
        <v>4401</v>
      </c>
      <c r="AZ90" s="128" t="s">
        <v>75</v>
      </c>
      <c r="BA90" s="129">
        <v>45043</v>
      </c>
      <c r="BB90" s="129">
        <v>45027</v>
      </c>
    </row>
    <row r="91" spans="1:54" x14ac:dyDescent="0.25">
      <c r="A91" s="68" t="s">
        <v>161</v>
      </c>
      <c r="B91" s="10"/>
      <c r="C91" s="10">
        <v>3005379331</v>
      </c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>
        <v>188</v>
      </c>
      <c r="AS91" s="29">
        <v>205</v>
      </c>
      <c r="AT91" s="29">
        <v>202</v>
      </c>
      <c r="AU91" s="29">
        <v>197</v>
      </c>
      <c r="AV91" s="29">
        <v>209</v>
      </c>
      <c r="AW91" s="29">
        <v>268</v>
      </c>
      <c r="AX91" s="31">
        <v>242</v>
      </c>
      <c r="AY91" s="78">
        <v>29</v>
      </c>
      <c r="AZ91" s="128" t="s">
        <v>75</v>
      </c>
      <c r="BA91" s="129">
        <v>45047</v>
      </c>
      <c r="BB91" s="129">
        <v>45027</v>
      </c>
    </row>
    <row r="92" spans="1:54" x14ac:dyDescent="0.25">
      <c r="A92" s="68" t="s">
        <v>162</v>
      </c>
      <c r="B92" s="10"/>
      <c r="C92" s="10">
        <v>3000271296</v>
      </c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>
        <v>158</v>
      </c>
      <c r="AS92" s="29">
        <v>306</v>
      </c>
      <c r="AT92" s="29">
        <v>220</v>
      </c>
      <c r="AU92" s="29">
        <v>261</v>
      </c>
      <c r="AV92" s="29">
        <v>235</v>
      </c>
      <c r="AW92" s="29">
        <v>398</v>
      </c>
      <c r="AX92" s="31">
        <v>335</v>
      </c>
      <c r="AY92" s="78">
        <v>0</v>
      </c>
      <c r="AZ92" s="128" t="s">
        <v>75</v>
      </c>
      <c r="BA92" s="129">
        <v>45038</v>
      </c>
      <c r="BB92" s="129">
        <v>45027</v>
      </c>
    </row>
    <row r="93" spans="1:54" x14ac:dyDescent="0.25">
      <c r="A93" s="68" t="s">
        <v>163</v>
      </c>
      <c r="B93" s="10"/>
      <c r="C93" s="10">
        <v>3010469819</v>
      </c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>
        <v>2830</v>
      </c>
      <c r="AV93" s="29">
        <v>2399</v>
      </c>
      <c r="AW93" s="29"/>
      <c r="AX93" s="31">
        <v>2489</v>
      </c>
      <c r="AY93" s="78">
        <v>3308</v>
      </c>
      <c r="BA93" s="129"/>
      <c r="BB93" s="129"/>
    </row>
    <row r="94" spans="1:54" x14ac:dyDescent="0.25">
      <c r="A94" s="68" t="s">
        <v>164</v>
      </c>
      <c r="B94" s="10"/>
      <c r="C94" s="10">
        <v>3011701509</v>
      </c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>
        <v>14</v>
      </c>
      <c r="AR94" s="29">
        <v>135</v>
      </c>
      <c r="AS94" s="29">
        <v>193</v>
      </c>
      <c r="AT94" s="29">
        <v>190</v>
      </c>
      <c r="AU94" s="29">
        <v>196</v>
      </c>
      <c r="AV94" s="29">
        <v>186</v>
      </c>
      <c r="AW94" s="29">
        <v>268</v>
      </c>
      <c r="AX94" s="31">
        <v>219</v>
      </c>
      <c r="AY94" s="78">
        <v>0</v>
      </c>
    </row>
    <row r="95" spans="1:54" x14ac:dyDescent="0.25">
      <c r="A95" s="68" t="s">
        <v>165</v>
      </c>
      <c r="B95" s="10"/>
      <c r="C95" s="10">
        <v>3004263106</v>
      </c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>
        <v>237</v>
      </c>
      <c r="AS95" s="29">
        <v>238</v>
      </c>
      <c r="AT95" s="29">
        <v>259</v>
      </c>
      <c r="AU95" s="29">
        <v>274</v>
      </c>
      <c r="AV95" s="29">
        <v>236</v>
      </c>
      <c r="AW95" s="29">
        <v>253</v>
      </c>
      <c r="AX95" s="31">
        <v>243</v>
      </c>
      <c r="AY95" s="78">
        <v>20</v>
      </c>
      <c r="AZ95" s="128" t="s">
        <v>75</v>
      </c>
      <c r="BA95" s="129">
        <v>45047</v>
      </c>
      <c r="BB95" s="129">
        <v>45027</v>
      </c>
    </row>
    <row r="96" spans="1:54" x14ac:dyDescent="0.25">
      <c r="A96" s="68" t="s">
        <v>166</v>
      </c>
      <c r="B96" s="10">
        <v>7005265331</v>
      </c>
      <c r="C96" s="10">
        <v>3001088468</v>
      </c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>
        <v>656</v>
      </c>
      <c r="AM96" s="29">
        <v>723</v>
      </c>
      <c r="AN96" s="29">
        <v>679</v>
      </c>
      <c r="AO96" s="29"/>
      <c r="AP96" s="29"/>
      <c r="AQ96" s="29"/>
      <c r="AR96" s="29"/>
      <c r="AS96" s="29"/>
      <c r="AT96" s="29">
        <v>700</v>
      </c>
      <c r="AU96" s="29">
        <v>700</v>
      </c>
      <c r="AV96" s="29">
        <v>867</v>
      </c>
      <c r="AW96" s="29">
        <v>1054</v>
      </c>
      <c r="AX96" s="31">
        <v>947</v>
      </c>
      <c r="AY96" s="78">
        <v>0</v>
      </c>
      <c r="AZ96" s="128" t="s">
        <v>75</v>
      </c>
      <c r="BA96" s="129">
        <v>45057</v>
      </c>
      <c r="BB96" s="129">
        <v>45036</v>
      </c>
    </row>
    <row r="97" spans="1:54" ht="25.5" x14ac:dyDescent="0.25">
      <c r="A97" s="68" t="s">
        <v>167</v>
      </c>
      <c r="B97" s="10">
        <v>7003220533</v>
      </c>
      <c r="C97" s="10">
        <v>3001088467</v>
      </c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>
        <v>596</v>
      </c>
      <c r="AQ97" s="29">
        <v>554</v>
      </c>
      <c r="AR97" s="29">
        <v>572</v>
      </c>
      <c r="AS97" s="29"/>
      <c r="AT97" s="29"/>
      <c r="AU97" s="29"/>
      <c r="AV97" s="29">
        <v>518</v>
      </c>
      <c r="AW97" s="29">
        <v>682</v>
      </c>
      <c r="AX97" s="31">
        <v>606</v>
      </c>
      <c r="AY97" s="78">
        <v>54</v>
      </c>
      <c r="AZ97" s="128" t="s">
        <v>75</v>
      </c>
      <c r="BA97" s="129">
        <v>45057</v>
      </c>
      <c r="BB97" s="129">
        <v>45036</v>
      </c>
    </row>
    <row r="98" spans="1:54" ht="25.5" x14ac:dyDescent="0.25">
      <c r="A98" s="68" t="s">
        <v>168</v>
      </c>
      <c r="B98" s="10">
        <v>7005772487</v>
      </c>
      <c r="C98" s="10">
        <v>3002872985</v>
      </c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>
        <v>182</v>
      </c>
      <c r="AQ98" s="29">
        <v>173</v>
      </c>
      <c r="AR98" s="29">
        <v>102</v>
      </c>
      <c r="AS98" s="29"/>
      <c r="AT98" s="29"/>
      <c r="AU98" s="29"/>
      <c r="AV98" s="29">
        <v>148</v>
      </c>
      <c r="AW98" s="29">
        <v>161</v>
      </c>
      <c r="AX98" s="31">
        <v>146</v>
      </c>
      <c r="AY98" s="78">
        <v>15</v>
      </c>
      <c r="AZ98" s="128" t="s">
        <v>74</v>
      </c>
      <c r="BA98" s="129">
        <v>45057</v>
      </c>
      <c r="BB98" s="129">
        <v>45036</v>
      </c>
    </row>
    <row r="99" spans="1:54" x14ac:dyDescent="0.25">
      <c r="A99" s="68" t="s">
        <v>169</v>
      </c>
      <c r="B99" s="10">
        <v>7205469797</v>
      </c>
      <c r="C99" s="10">
        <v>3013708265</v>
      </c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>
        <v>156</v>
      </c>
      <c r="AS99" s="29">
        <v>142</v>
      </c>
      <c r="AT99" s="29">
        <v>179</v>
      </c>
      <c r="AU99" s="29">
        <v>179</v>
      </c>
      <c r="AV99" s="29">
        <v>90</v>
      </c>
      <c r="AW99" s="29"/>
      <c r="AX99" s="31">
        <v>166</v>
      </c>
      <c r="AY99" s="78">
        <v>29</v>
      </c>
      <c r="AZ99" s="128" t="s">
        <v>170</v>
      </c>
      <c r="BA99" s="129">
        <v>45057</v>
      </c>
      <c r="BB99" s="129">
        <v>45036</v>
      </c>
    </row>
    <row r="100" spans="1:54" x14ac:dyDescent="0.25">
      <c r="A100" s="68" t="s">
        <v>171</v>
      </c>
      <c r="B100" s="10"/>
      <c r="C100" s="10">
        <v>3010727330</v>
      </c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>
        <v>164</v>
      </c>
      <c r="AS100" s="29">
        <v>161</v>
      </c>
      <c r="AT100" s="29">
        <v>160</v>
      </c>
      <c r="AU100" s="29">
        <v>160</v>
      </c>
      <c r="AV100" s="29">
        <v>61</v>
      </c>
      <c r="AW100" s="29">
        <v>168</v>
      </c>
      <c r="AX100" s="31">
        <v>125</v>
      </c>
      <c r="AY100" s="78">
        <v>71</v>
      </c>
      <c r="AZ100" s="128" t="s">
        <v>75</v>
      </c>
      <c r="BA100" s="129">
        <v>45038</v>
      </c>
      <c r="BB100" s="129">
        <v>45027</v>
      </c>
    </row>
    <row r="101" spans="1:54" x14ac:dyDescent="0.25">
      <c r="A101" s="68" t="s">
        <v>172</v>
      </c>
      <c r="B101" s="10"/>
      <c r="C101" s="10">
        <v>3004256543</v>
      </c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>
        <v>211</v>
      </c>
      <c r="AR101" s="29">
        <v>218</v>
      </c>
      <c r="AS101" s="29">
        <v>176</v>
      </c>
      <c r="AT101" s="29"/>
      <c r="AU101" s="29"/>
      <c r="AV101" s="29">
        <v>204</v>
      </c>
      <c r="AW101" s="29">
        <v>164</v>
      </c>
      <c r="AX101" s="31">
        <v>181</v>
      </c>
      <c r="AY101" s="78">
        <v>45</v>
      </c>
      <c r="BA101" s="129"/>
      <c r="BB101" s="129"/>
    </row>
    <row r="102" spans="1:54" x14ac:dyDescent="0.25">
      <c r="A102" s="68" t="s">
        <v>173</v>
      </c>
      <c r="B102" s="10">
        <v>7200895448</v>
      </c>
      <c r="C102" s="10">
        <v>3013815201</v>
      </c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>
        <v>416</v>
      </c>
      <c r="AS102" s="29">
        <v>417</v>
      </c>
      <c r="AT102" s="29">
        <v>513</v>
      </c>
      <c r="AU102" s="29">
        <v>513</v>
      </c>
      <c r="AV102" s="29">
        <v>603</v>
      </c>
      <c r="AW102" s="29">
        <v>670</v>
      </c>
      <c r="AX102" s="31">
        <v>611</v>
      </c>
      <c r="AY102" s="78">
        <v>841</v>
      </c>
    </row>
    <row r="103" spans="1:54" x14ac:dyDescent="0.25">
      <c r="A103" s="68" t="s">
        <v>174</v>
      </c>
      <c r="B103" s="10">
        <v>7200896466</v>
      </c>
      <c r="C103" s="10">
        <v>3013271512</v>
      </c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>
        <v>503</v>
      </c>
      <c r="AQ103" s="29">
        <v>612</v>
      </c>
      <c r="AR103" s="29">
        <v>1005</v>
      </c>
      <c r="AS103" s="29"/>
      <c r="AT103" s="29"/>
      <c r="AU103" s="29"/>
      <c r="AV103" s="29">
        <v>1258</v>
      </c>
      <c r="AW103" s="29">
        <v>1497</v>
      </c>
      <c r="AX103" s="31">
        <v>1349</v>
      </c>
      <c r="AY103" s="78">
        <v>1663</v>
      </c>
      <c r="AZ103" s="128" t="s">
        <v>75</v>
      </c>
      <c r="BA103" s="129">
        <v>45063</v>
      </c>
      <c r="BB103" s="129">
        <v>45044</v>
      </c>
    </row>
    <row r="104" spans="1:54" x14ac:dyDescent="0.25">
      <c r="A104" s="68" t="s">
        <v>175</v>
      </c>
      <c r="B104" s="10"/>
      <c r="C104" s="10">
        <v>3001516753</v>
      </c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>
        <v>575</v>
      </c>
      <c r="AV104" s="29">
        <v>665</v>
      </c>
      <c r="AW104" s="29">
        <v>779</v>
      </c>
      <c r="AX104" s="31">
        <v>756</v>
      </c>
      <c r="AY104" s="78">
        <v>0</v>
      </c>
      <c r="AZ104" s="128" t="s">
        <v>75</v>
      </c>
      <c r="BA104" s="129">
        <v>45051</v>
      </c>
      <c r="BB104" s="129">
        <v>45036</v>
      </c>
    </row>
    <row r="105" spans="1:54" x14ac:dyDescent="0.25">
      <c r="A105" s="68" t="s">
        <v>176</v>
      </c>
      <c r="B105" s="10"/>
      <c r="C105" s="10">
        <v>3002906629</v>
      </c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>
        <v>434</v>
      </c>
      <c r="AS105" s="29">
        <v>344</v>
      </c>
      <c r="AT105" s="29">
        <v>468</v>
      </c>
      <c r="AU105" s="29"/>
      <c r="AV105" s="29">
        <v>368</v>
      </c>
      <c r="AW105" s="29">
        <v>480</v>
      </c>
      <c r="AX105" s="31">
        <v>423</v>
      </c>
      <c r="AY105" s="78">
        <v>169</v>
      </c>
      <c r="AZ105" s="128" t="s">
        <v>75</v>
      </c>
      <c r="BA105" s="129">
        <v>45051</v>
      </c>
      <c r="BB105" s="129">
        <v>45036</v>
      </c>
    </row>
    <row r="106" spans="1:54" x14ac:dyDescent="0.25">
      <c r="A106" s="68" t="s">
        <v>176</v>
      </c>
      <c r="B106" s="10"/>
      <c r="C106" s="10">
        <v>3003401215</v>
      </c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>
        <v>179</v>
      </c>
      <c r="AS106" s="29">
        <v>246</v>
      </c>
      <c r="AT106" s="29">
        <v>283</v>
      </c>
      <c r="AU106" s="29"/>
      <c r="AV106" s="29">
        <v>239</v>
      </c>
      <c r="AW106" s="29">
        <v>283</v>
      </c>
      <c r="AX106" s="31">
        <v>260</v>
      </c>
      <c r="AY106" s="78">
        <v>44</v>
      </c>
      <c r="AZ106" s="128" t="s">
        <v>75</v>
      </c>
      <c r="BA106" s="129">
        <v>45051</v>
      </c>
      <c r="BB106" s="129">
        <v>45036</v>
      </c>
    </row>
    <row r="107" spans="1:54" x14ac:dyDescent="0.25">
      <c r="A107" s="68" t="s">
        <v>177</v>
      </c>
      <c r="B107" s="10"/>
      <c r="C107" s="10">
        <v>3013757563</v>
      </c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>
        <v>3690</v>
      </c>
      <c r="AV107" s="29">
        <v>4524</v>
      </c>
      <c r="AW107" s="29">
        <v>4648</v>
      </c>
      <c r="AX107" s="31">
        <v>4575</v>
      </c>
      <c r="AY107" s="78">
        <v>3524</v>
      </c>
    </row>
    <row r="108" spans="1:54" x14ac:dyDescent="0.25">
      <c r="A108" s="68" t="s">
        <v>177</v>
      </c>
      <c r="B108" s="10"/>
      <c r="C108" s="10">
        <v>3013757564</v>
      </c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>
        <v>2580</v>
      </c>
      <c r="AV108" s="29">
        <v>3574</v>
      </c>
      <c r="AW108" s="29">
        <v>4508</v>
      </c>
      <c r="AX108" s="31">
        <v>4269</v>
      </c>
      <c r="AY108" s="78">
        <v>2490</v>
      </c>
    </row>
    <row r="109" spans="1:54" x14ac:dyDescent="0.25">
      <c r="A109" s="68" t="s">
        <v>19</v>
      </c>
      <c r="B109" s="10">
        <v>7000047224</v>
      </c>
      <c r="C109" s="10">
        <v>3009003168</v>
      </c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>
        <v>11000</v>
      </c>
      <c r="AV109" s="29"/>
      <c r="AW109" s="29"/>
      <c r="AX109" s="31">
        <v>10578</v>
      </c>
      <c r="AY109" s="78">
        <v>1399</v>
      </c>
    </row>
    <row r="110" spans="1:54" x14ac:dyDescent="0.25">
      <c r="A110" s="68" t="s">
        <v>178</v>
      </c>
      <c r="B110" s="10">
        <v>7200873822</v>
      </c>
      <c r="C110" s="10">
        <v>3013011399</v>
      </c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>
        <v>273</v>
      </c>
      <c r="AT110" s="29">
        <v>274</v>
      </c>
      <c r="AU110" s="29">
        <v>255</v>
      </c>
      <c r="AV110" s="29">
        <v>265</v>
      </c>
      <c r="AW110" s="29"/>
      <c r="AX110" s="31">
        <v>282</v>
      </c>
      <c r="AY110" s="78">
        <v>3</v>
      </c>
    </row>
    <row r="111" spans="1:54" x14ac:dyDescent="0.25">
      <c r="A111" s="68" t="s">
        <v>179</v>
      </c>
      <c r="B111" s="10">
        <v>7002879627</v>
      </c>
      <c r="C111" s="10">
        <v>3000553251</v>
      </c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>
        <v>382</v>
      </c>
      <c r="AT111" s="29">
        <v>374</v>
      </c>
      <c r="AU111" s="29">
        <v>352</v>
      </c>
      <c r="AV111" s="29">
        <v>321</v>
      </c>
      <c r="AW111" s="29">
        <v>427</v>
      </c>
      <c r="AX111" s="31">
        <v>382</v>
      </c>
      <c r="AY111" s="78">
        <v>0</v>
      </c>
      <c r="AZ111" s="128" t="s">
        <v>75</v>
      </c>
      <c r="BA111" s="129">
        <v>45057</v>
      </c>
      <c r="BB111" s="129">
        <v>45036</v>
      </c>
    </row>
    <row r="112" spans="1:54" x14ac:dyDescent="0.25">
      <c r="A112" s="68" t="s">
        <v>180</v>
      </c>
      <c r="B112" s="10">
        <v>7010444936</v>
      </c>
      <c r="C112" s="10">
        <v>3011882114</v>
      </c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>
        <v>205</v>
      </c>
      <c r="AT112" s="29">
        <v>236</v>
      </c>
      <c r="AU112" s="29">
        <v>225</v>
      </c>
      <c r="AV112" s="29">
        <v>231</v>
      </c>
      <c r="AW112" s="29">
        <v>242</v>
      </c>
      <c r="AX112" s="31">
        <v>233</v>
      </c>
      <c r="AY112" s="78">
        <v>65</v>
      </c>
    </row>
    <row r="113" spans="1:54" x14ac:dyDescent="0.25">
      <c r="A113" s="68" t="s">
        <v>181</v>
      </c>
      <c r="B113" s="10">
        <v>7001356142</v>
      </c>
      <c r="C113" s="10">
        <v>3013774121</v>
      </c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>
        <v>522</v>
      </c>
      <c r="AT113" s="29">
        <v>519</v>
      </c>
      <c r="AU113" s="29">
        <v>672</v>
      </c>
      <c r="AV113" s="29">
        <v>528</v>
      </c>
      <c r="AW113" s="29">
        <v>526</v>
      </c>
      <c r="AX113" s="31">
        <v>552</v>
      </c>
      <c r="AY113" s="78">
        <v>165</v>
      </c>
      <c r="AZ113" s="128" t="s">
        <v>75</v>
      </c>
      <c r="BA113" s="129">
        <v>45041</v>
      </c>
      <c r="BB113" s="129">
        <v>45021</v>
      </c>
    </row>
    <row r="114" spans="1:54" x14ac:dyDescent="0.25">
      <c r="A114" s="68" t="s">
        <v>11</v>
      </c>
      <c r="B114" s="10">
        <v>7005492088</v>
      </c>
      <c r="C114" s="68">
        <v>3014980485</v>
      </c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>
        <v>505</v>
      </c>
      <c r="AT114" s="29">
        <v>628</v>
      </c>
      <c r="AU114" s="29">
        <v>789</v>
      </c>
      <c r="AV114" s="29">
        <v>835</v>
      </c>
      <c r="AW114" s="29">
        <v>901</v>
      </c>
      <c r="AX114" s="31">
        <v>919</v>
      </c>
      <c r="AY114" s="78">
        <v>0</v>
      </c>
    </row>
    <row r="115" spans="1:54" x14ac:dyDescent="0.25">
      <c r="A115" s="68" t="s">
        <v>182</v>
      </c>
      <c r="B115" s="10"/>
      <c r="C115" s="68">
        <v>3010696239</v>
      </c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>
        <v>258</v>
      </c>
      <c r="AV115" s="29"/>
      <c r="AW115" s="29">
        <v>340</v>
      </c>
      <c r="AX115" s="31">
        <v>323</v>
      </c>
      <c r="AY115" s="78">
        <v>310</v>
      </c>
    </row>
    <row r="116" spans="1:54" x14ac:dyDescent="0.25">
      <c r="A116" s="68" t="s">
        <v>183</v>
      </c>
      <c r="B116" s="10"/>
      <c r="C116" s="68">
        <v>3011336832</v>
      </c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>
        <v>178</v>
      </c>
      <c r="AV116" s="29"/>
      <c r="AW116" s="29">
        <v>337</v>
      </c>
      <c r="AX116" s="31">
        <v>282</v>
      </c>
      <c r="AY116" s="78">
        <v>0</v>
      </c>
    </row>
    <row r="117" spans="1:54" x14ac:dyDescent="0.25">
      <c r="A117" s="68" t="s">
        <v>184</v>
      </c>
      <c r="B117" s="10"/>
      <c r="C117" s="68">
        <v>3011905434</v>
      </c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>
        <v>5000</v>
      </c>
      <c r="AV117" s="29"/>
      <c r="AW117" s="29"/>
      <c r="AX117" s="31">
        <v>4830</v>
      </c>
      <c r="AY117" s="78">
        <v>503</v>
      </c>
    </row>
    <row r="118" spans="1:54" x14ac:dyDescent="0.25">
      <c r="A118" s="68" t="s">
        <v>185</v>
      </c>
      <c r="B118" s="10"/>
      <c r="C118" s="68">
        <v>3002877896</v>
      </c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>
        <v>800</v>
      </c>
      <c r="AV118" s="29"/>
      <c r="AW118" s="29">
        <v>1426</v>
      </c>
      <c r="AX118" s="31">
        <v>1264</v>
      </c>
      <c r="AY118" s="78">
        <v>1593</v>
      </c>
    </row>
    <row r="119" spans="1:54" x14ac:dyDescent="0.25">
      <c r="A119" s="68" t="s">
        <v>186</v>
      </c>
      <c r="B119" s="10">
        <v>7004085358</v>
      </c>
      <c r="C119" s="68">
        <v>3002248046</v>
      </c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>
        <v>390</v>
      </c>
      <c r="AU119" s="29">
        <v>281</v>
      </c>
      <c r="AV119" s="29">
        <v>399</v>
      </c>
      <c r="AW119" s="29">
        <v>408</v>
      </c>
      <c r="AX119" s="31">
        <v>390</v>
      </c>
      <c r="AY119" s="78">
        <v>79</v>
      </c>
    </row>
    <row r="120" spans="1:54" x14ac:dyDescent="0.25">
      <c r="A120" s="68" t="s">
        <v>187</v>
      </c>
      <c r="B120" s="10">
        <v>7003298012</v>
      </c>
      <c r="C120" s="68">
        <v>3013242817</v>
      </c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>
        <v>166</v>
      </c>
      <c r="AW120" s="29"/>
      <c r="AX120" s="31">
        <v>156</v>
      </c>
      <c r="AY120" s="78">
        <v>178</v>
      </c>
    </row>
    <row r="121" spans="1:54" x14ac:dyDescent="0.25">
      <c r="A121" s="68" t="s">
        <v>188</v>
      </c>
      <c r="B121" s="10"/>
      <c r="C121" s="68">
        <v>3000098654</v>
      </c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>
        <v>112</v>
      </c>
      <c r="AW121" s="29">
        <v>206</v>
      </c>
      <c r="AX121" s="31">
        <v>206</v>
      </c>
      <c r="AY121" s="78">
        <v>0</v>
      </c>
      <c r="AZ121" s="128" t="s">
        <v>75</v>
      </c>
      <c r="BA121" s="129">
        <v>45038</v>
      </c>
      <c r="BB121" s="129">
        <v>45027</v>
      </c>
    </row>
    <row r="122" spans="1:54" x14ac:dyDescent="0.25">
      <c r="A122" s="68" t="s">
        <v>189</v>
      </c>
      <c r="B122" s="10">
        <v>7201631196</v>
      </c>
      <c r="C122" s="68">
        <v>3013324963</v>
      </c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>
        <v>146</v>
      </c>
      <c r="AU122" s="29">
        <v>152</v>
      </c>
      <c r="AV122" s="29">
        <v>151</v>
      </c>
      <c r="AW122" s="29"/>
      <c r="AX122" s="31">
        <v>174</v>
      </c>
      <c r="AY122" s="78">
        <v>61</v>
      </c>
      <c r="AZ122" s="128" t="s">
        <v>75</v>
      </c>
      <c r="BA122" s="129">
        <v>45057</v>
      </c>
      <c r="BB122" s="129">
        <v>45027</v>
      </c>
    </row>
    <row r="123" spans="1:54" x14ac:dyDescent="0.25">
      <c r="A123" s="68" t="s">
        <v>190</v>
      </c>
      <c r="B123" s="10">
        <v>7008948117</v>
      </c>
      <c r="C123" s="68">
        <v>3010212220</v>
      </c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>
        <v>6707</v>
      </c>
      <c r="AU123" s="29">
        <v>4000</v>
      </c>
      <c r="AV123" s="29">
        <v>6238</v>
      </c>
      <c r="AW123" s="29"/>
      <c r="AX123" s="31">
        <v>6824</v>
      </c>
      <c r="AY123" s="78">
        <v>0</v>
      </c>
    </row>
    <row r="124" spans="1:54" x14ac:dyDescent="0.25">
      <c r="A124" s="68" t="s">
        <v>191</v>
      </c>
      <c r="B124" s="10">
        <v>7203035197</v>
      </c>
      <c r="C124" s="68">
        <v>3003870642</v>
      </c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>
        <v>6467</v>
      </c>
      <c r="AU124" s="29">
        <v>6732</v>
      </c>
      <c r="AV124" s="29">
        <v>5786</v>
      </c>
      <c r="AW124" s="29">
        <v>6497</v>
      </c>
      <c r="AX124" s="31">
        <v>6441</v>
      </c>
      <c r="AY124" s="78">
        <v>0</v>
      </c>
    </row>
    <row r="125" spans="1:54" x14ac:dyDescent="0.25">
      <c r="A125" s="68" t="s">
        <v>192</v>
      </c>
      <c r="B125" s="10"/>
      <c r="C125" s="68">
        <v>3000236451</v>
      </c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>
        <v>209</v>
      </c>
      <c r="AW125" s="29">
        <v>357</v>
      </c>
      <c r="AX125" s="31">
        <v>319</v>
      </c>
      <c r="AY125" s="78">
        <v>0</v>
      </c>
      <c r="AZ125" s="128" t="s">
        <v>75</v>
      </c>
      <c r="BA125" s="129">
        <v>45068</v>
      </c>
      <c r="BB125" s="129">
        <v>45044</v>
      </c>
    </row>
    <row r="126" spans="1:54" x14ac:dyDescent="0.25">
      <c r="A126" s="68" t="s">
        <v>193</v>
      </c>
      <c r="B126" s="10"/>
      <c r="C126" s="68">
        <v>3014085351</v>
      </c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>
        <v>6435</v>
      </c>
      <c r="AW126" s="29">
        <v>4320</v>
      </c>
      <c r="AX126" s="31">
        <v>5400</v>
      </c>
      <c r="AY126" s="78">
        <v>0</v>
      </c>
    </row>
    <row r="127" spans="1:54" x14ac:dyDescent="0.25">
      <c r="A127" s="68" t="s">
        <v>194</v>
      </c>
      <c r="B127" s="10">
        <v>7005765485</v>
      </c>
      <c r="C127" s="68">
        <v>3010656684</v>
      </c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>
        <v>207</v>
      </c>
      <c r="AU127" s="29">
        <v>209</v>
      </c>
      <c r="AV127" s="29">
        <v>204</v>
      </c>
      <c r="AW127" s="29"/>
      <c r="AX127" s="31">
        <v>232</v>
      </c>
      <c r="AY127" s="78">
        <v>0</v>
      </c>
    </row>
    <row r="128" spans="1:54" x14ac:dyDescent="0.25">
      <c r="A128" s="68" t="s">
        <v>195</v>
      </c>
      <c r="B128" s="10"/>
      <c r="C128" s="68">
        <v>3013569380</v>
      </c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>
        <v>100</v>
      </c>
      <c r="AU128" s="29">
        <v>132</v>
      </c>
      <c r="AV128" s="29">
        <v>127</v>
      </c>
      <c r="AW128" s="29"/>
      <c r="AX128" s="31">
        <v>125</v>
      </c>
      <c r="AY128" s="78">
        <v>100</v>
      </c>
    </row>
    <row r="129" spans="1:54" x14ac:dyDescent="0.25">
      <c r="A129" s="68" t="s">
        <v>195</v>
      </c>
      <c r="B129" s="10"/>
      <c r="C129" s="68">
        <v>3013569381</v>
      </c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>
        <v>246</v>
      </c>
      <c r="AU129" s="29">
        <v>453</v>
      </c>
      <c r="AV129" s="29">
        <v>536</v>
      </c>
      <c r="AW129" s="29"/>
      <c r="AX129" s="31">
        <v>551</v>
      </c>
      <c r="AY129" s="78">
        <v>0</v>
      </c>
    </row>
    <row r="130" spans="1:54" x14ac:dyDescent="0.25">
      <c r="A130" s="68" t="s">
        <v>196</v>
      </c>
      <c r="B130" s="10">
        <v>7004494126</v>
      </c>
      <c r="C130" s="68">
        <v>3004836151</v>
      </c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>
        <v>100</v>
      </c>
      <c r="AU130" s="29">
        <v>100</v>
      </c>
      <c r="AV130" s="29">
        <v>100</v>
      </c>
      <c r="AW130" s="29"/>
      <c r="AX130" s="31">
        <v>106</v>
      </c>
      <c r="AY130" s="78">
        <v>61</v>
      </c>
      <c r="AZ130" s="128" t="s">
        <v>75</v>
      </c>
      <c r="BA130" s="129">
        <v>45039</v>
      </c>
      <c r="BB130" s="129">
        <v>45027</v>
      </c>
    </row>
    <row r="131" spans="1:54" x14ac:dyDescent="0.25">
      <c r="A131" s="126" t="s">
        <v>197</v>
      </c>
      <c r="B131" s="10"/>
      <c r="C131" s="68">
        <v>3004321665</v>
      </c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>
        <v>370</v>
      </c>
      <c r="AU131" s="29">
        <v>370</v>
      </c>
      <c r="AV131" s="29">
        <v>370</v>
      </c>
      <c r="AW131" s="29"/>
      <c r="AX131" s="31">
        <v>356</v>
      </c>
      <c r="AY131" s="78">
        <v>209</v>
      </c>
    </row>
    <row r="132" spans="1:54" x14ac:dyDescent="0.25">
      <c r="A132" s="126" t="s">
        <v>198</v>
      </c>
      <c r="B132" s="10">
        <v>7202660951</v>
      </c>
      <c r="C132" s="68">
        <v>3003060564</v>
      </c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>
        <v>2351</v>
      </c>
      <c r="AT132" s="29">
        <v>2718</v>
      </c>
      <c r="AU132" s="29">
        <v>2657</v>
      </c>
      <c r="AV132" s="29"/>
      <c r="AW132" s="29"/>
      <c r="AX132" s="31">
        <v>4047</v>
      </c>
      <c r="AY132" s="78">
        <v>7212</v>
      </c>
    </row>
    <row r="133" spans="1:54" x14ac:dyDescent="0.25">
      <c r="A133" s="19" t="s">
        <v>199</v>
      </c>
      <c r="B133" s="18">
        <v>7200212644</v>
      </c>
      <c r="C133" s="19">
        <v>3013533951</v>
      </c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>
        <v>44560</v>
      </c>
      <c r="AU133" s="29">
        <v>42320</v>
      </c>
      <c r="AV133" s="29">
        <v>42320</v>
      </c>
      <c r="AW133" s="29"/>
      <c r="AX133" s="31">
        <v>43066.666666666664</v>
      </c>
      <c r="AY133" s="78">
        <v>0</v>
      </c>
    </row>
    <row r="134" spans="1:54" x14ac:dyDescent="0.25">
      <c r="A134" s="19" t="s">
        <v>200</v>
      </c>
      <c r="B134" s="18"/>
      <c r="C134" s="19">
        <v>3011906120</v>
      </c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>
        <v>223</v>
      </c>
      <c r="AW134" s="29"/>
      <c r="AX134" s="31">
        <v>223</v>
      </c>
      <c r="AY134" s="78">
        <v>0</v>
      </c>
    </row>
    <row r="135" spans="1:54" x14ac:dyDescent="0.25">
      <c r="A135" s="19" t="s">
        <v>201</v>
      </c>
      <c r="B135" s="18">
        <v>7008368328</v>
      </c>
      <c r="C135" s="19">
        <v>3006772079</v>
      </c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>
        <v>186</v>
      </c>
      <c r="AT135" s="29">
        <v>176</v>
      </c>
      <c r="AU135" s="29">
        <v>200</v>
      </c>
      <c r="AV135" s="29">
        <v>200</v>
      </c>
      <c r="AW135" s="29"/>
      <c r="AX135" s="31">
        <v>192</v>
      </c>
      <c r="AY135" s="78">
        <v>0</v>
      </c>
    </row>
    <row r="136" spans="1:54" x14ac:dyDescent="0.25">
      <c r="A136" s="19" t="s">
        <v>202</v>
      </c>
      <c r="B136" s="18">
        <v>7005582454</v>
      </c>
      <c r="C136" s="19">
        <v>3005871490</v>
      </c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>
        <v>4500</v>
      </c>
      <c r="AX136" s="31">
        <v>4500</v>
      </c>
      <c r="AY136" s="78">
        <v>0</v>
      </c>
    </row>
    <row r="137" spans="1:54" x14ac:dyDescent="0.25">
      <c r="A137" s="19" t="s">
        <v>203</v>
      </c>
      <c r="B137" s="18"/>
      <c r="C137" s="19">
        <v>3011399025</v>
      </c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>
        <v>5002</v>
      </c>
      <c r="AU137" s="29">
        <v>5248</v>
      </c>
      <c r="AV137" s="29">
        <v>5904</v>
      </c>
      <c r="AW137" s="29"/>
      <c r="AX137" s="31">
        <v>5384.666666666667</v>
      </c>
      <c r="AY137" s="78">
        <v>0</v>
      </c>
    </row>
    <row r="138" spans="1:54" x14ac:dyDescent="0.25">
      <c r="A138" s="19" t="s">
        <v>203</v>
      </c>
      <c r="B138" s="18"/>
      <c r="C138" s="19">
        <v>3011476818</v>
      </c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>
        <v>21812</v>
      </c>
      <c r="AU138" s="29">
        <v>16728</v>
      </c>
      <c r="AV138" s="29">
        <v>20008</v>
      </c>
      <c r="AW138" s="29"/>
      <c r="AX138" s="31">
        <v>19516</v>
      </c>
      <c r="AY138" s="78">
        <v>0</v>
      </c>
    </row>
    <row r="139" spans="1:54" x14ac:dyDescent="0.25">
      <c r="A139" s="19" t="s">
        <v>203</v>
      </c>
      <c r="B139" s="18"/>
      <c r="C139" s="19">
        <v>3012226374</v>
      </c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>
        <v>32200</v>
      </c>
      <c r="AX139" s="31">
        <v>32200</v>
      </c>
      <c r="AY139" s="78">
        <v>0</v>
      </c>
    </row>
    <row r="140" spans="1:54" x14ac:dyDescent="0.25">
      <c r="A140" s="19" t="s">
        <v>204</v>
      </c>
      <c r="B140" s="18"/>
      <c r="C140" s="19">
        <v>3002248597</v>
      </c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>
        <v>252</v>
      </c>
      <c r="AU140" s="29">
        <v>248</v>
      </c>
      <c r="AV140" s="29">
        <v>257</v>
      </c>
      <c r="AW140" s="29">
        <v>296</v>
      </c>
      <c r="AX140" s="31">
        <v>267</v>
      </c>
      <c r="AY140" s="78">
        <v>0</v>
      </c>
    </row>
    <row r="141" spans="1:54" x14ac:dyDescent="0.25">
      <c r="A141" s="19" t="s">
        <v>205</v>
      </c>
      <c r="B141" s="18"/>
      <c r="C141" s="19">
        <v>3012777988</v>
      </c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>
        <v>164</v>
      </c>
      <c r="AV141" s="29">
        <v>176</v>
      </c>
      <c r="AW141" s="29">
        <v>330</v>
      </c>
      <c r="AX141" s="31">
        <v>223.33333333333334</v>
      </c>
      <c r="AY141" s="78">
        <v>0</v>
      </c>
    </row>
    <row r="142" spans="1:54" x14ac:dyDescent="0.25">
      <c r="A142" s="19" t="s">
        <v>206</v>
      </c>
      <c r="B142" s="18"/>
      <c r="C142" s="19">
        <v>3011041630</v>
      </c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>
        <v>262</v>
      </c>
      <c r="AV142" s="29">
        <v>290</v>
      </c>
      <c r="AW142" s="29">
        <v>287</v>
      </c>
      <c r="AX142" s="31">
        <v>279.66666666666669</v>
      </c>
      <c r="AY142" s="78">
        <v>0</v>
      </c>
    </row>
    <row r="143" spans="1:54" x14ac:dyDescent="0.25">
      <c r="A143" s="19" t="s">
        <v>207</v>
      </c>
      <c r="B143" s="18"/>
      <c r="C143" s="19">
        <v>3013651413</v>
      </c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>
        <v>132</v>
      </c>
      <c r="AX143" s="31">
        <v>132</v>
      </c>
      <c r="AY143" s="78">
        <v>0</v>
      </c>
    </row>
    <row r="144" spans="1:54" x14ac:dyDescent="0.25">
      <c r="A144" s="19" t="s">
        <v>208</v>
      </c>
      <c r="B144" s="18"/>
      <c r="C144" s="19">
        <v>3009017381</v>
      </c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AS144" s="29"/>
      <c r="AT144" s="29"/>
      <c r="AU144" s="29"/>
      <c r="AV144" s="29"/>
      <c r="AW144" s="29">
        <v>2500</v>
      </c>
      <c r="AX144" s="31">
        <v>2500</v>
      </c>
      <c r="AY144" s="78">
        <v>0</v>
      </c>
    </row>
    <row r="145" spans="1:54" x14ac:dyDescent="0.25">
      <c r="A145" s="19" t="s">
        <v>209</v>
      </c>
      <c r="B145" s="18"/>
      <c r="C145" s="19">
        <v>3013409713</v>
      </c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AS145" s="29"/>
      <c r="AT145" s="29"/>
      <c r="AU145" s="29">
        <v>4349</v>
      </c>
      <c r="AV145" s="29">
        <v>4466</v>
      </c>
      <c r="AW145" s="29">
        <v>4257</v>
      </c>
      <c r="AX145" s="31">
        <v>4357.333333333333</v>
      </c>
      <c r="AY145" s="78">
        <v>0</v>
      </c>
    </row>
    <row r="146" spans="1:54" x14ac:dyDescent="0.25">
      <c r="A146" s="19" t="s">
        <v>210</v>
      </c>
      <c r="B146" s="18"/>
      <c r="C146" s="19">
        <v>3012128688</v>
      </c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AS146" s="29"/>
      <c r="AT146" s="29"/>
      <c r="AU146" s="29">
        <v>185</v>
      </c>
      <c r="AV146" s="29">
        <v>151</v>
      </c>
      <c r="AW146" s="29">
        <v>196</v>
      </c>
      <c r="AX146" s="31">
        <v>177.33333333333334</v>
      </c>
      <c r="AY146" s="78">
        <v>0</v>
      </c>
    </row>
    <row r="147" spans="1:54" x14ac:dyDescent="0.25">
      <c r="A147" s="19" t="s">
        <v>211</v>
      </c>
      <c r="B147" s="18"/>
      <c r="C147" s="19">
        <v>3009014977</v>
      </c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AS147" s="29"/>
      <c r="AT147" s="29"/>
      <c r="AU147" s="29"/>
      <c r="AV147" s="29"/>
      <c r="AW147" s="29">
        <v>11000</v>
      </c>
      <c r="AX147" s="31">
        <v>11000</v>
      </c>
      <c r="AY147" s="78">
        <v>0</v>
      </c>
    </row>
    <row r="148" spans="1:54" x14ac:dyDescent="0.25">
      <c r="A148" s="19" t="s">
        <v>212</v>
      </c>
      <c r="B148" s="18">
        <v>7010471722</v>
      </c>
      <c r="C148" s="19">
        <v>3010337237</v>
      </c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AS148" s="29"/>
      <c r="AT148" s="29"/>
      <c r="AU148" s="29">
        <v>791</v>
      </c>
      <c r="AV148" s="29">
        <v>670</v>
      </c>
      <c r="AW148" s="29">
        <v>740</v>
      </c>
      <c r="AX148" s="31">
        <v>733.66666666666663</v>
      </c>
      <c r="AY148" s="78">
        <v>0</v>
      </c>
    </row>
    <row r="149" spans="1:54" x14ac:dyDescent="0.25">
      <c r="A149" s="19" t="s">
        <v>213</v>
      </c>
      <c r="B149" s="18">
        <v>7002993295</v>
      </c>
      <c r="C149" s="19">
        <v>3007080540</v>
      </c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AS149" s="29"/>
      <c r="AT149" s="29"/>
      <c r="AU149" s="29">
        <v>1386</v>
      </c>
      <c r="AV149" s="29">
        <v>1654</v>
      </c>
      <c r="AW149" s="29">
        <v>2260</v>
      </c>
      <c r="AX149" s="31">
        <v>1766.6666666666667</v>
      </c>
      <c r="AY149" s="78">
        <v>0</v>
      </c>
    </row>
    <row r="150" spans="1:54" x14ac:dyDescent="0.25">
      <c r="A150" s="19" t="s">
        <v>214</v>
      </c>
      <c r="B150" s="18">
        <v>7002475705</v>
      </c>
      <c r="C150" s="19">
        <v>3006524917</v>
      </c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AS150" s="29"/>
      <c r="AT150" s="29"/>
      <c r="AU150" s="29">
        <v>2266</v>
      </c>
      <c r="AV150" s="29">
        <v>1462</v>
      </c>
      <c r="AW150" s="29">
        <v>1853</v>
      </c>
      <c r="AX150" s="31">
        <v>1860.3333333333333</v>
      </c>
      <c r="AY150" s="78">
        <v>0</v>
      </c>
    </row>
    <row r="151" spans="1:54" x14ac:dyDescent="0.25">
      <c r="A151" s="19" t="s">
        <v>215</v>
      </c>
      <c r="B151" s="18">
        <v>7005577693</v>
      </c>
      <c r="C151" s="19">
        <v>3004075514</v>
      </c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AS151" s="29"/>
      <c r="AT151" s="29"/>
      <c r="AU151" s="29">
        <v>1108</v>
      </c>
      <c r="AV151" s="29">
        <v>1240</v>
      </c>
      <c r="AW151" s="29">
        <v>1290</v>
      </c>
      <c r="AX151" s="31">
        <v>1212.6666666666667</v>
      </c>
      <c r="AY151" s="78">
        <v>0</v>
      </c>
    </row>
    <row r="152" spans="1:54" x14ac:dyDescent="0.25">
      <c r="A152" s="19" t="s">
        <v>216</v>
      </c>
      <c r="B152" s="18">
        <v>7202014700</v>
      </c>
      <c r="C152" s="19">
        <v>3010872725</v>
      </c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AS152" s="29"/>
      <c r="AT152" s="29"/>
      <c r="AU152" s="29"/>
      <c r="AV152" s="29"/>
      <c r="AW152" s="29">
        <v>565</v>
      </c>
      <c r="AX152" s="31">
        <v>565</v>
      </c>
      <c r="AY152" s="78">
        <v>0</v>
      </c>
    </row>
    <row r="153" spans="1:54" x14ac:dyDescent="0.25">
      <c r="A153" s="19" t="s">
        <v>217</v>
      </c>
      <c r="B153" s="18">
        <v>7008987333</v>
      </c>
      <c r="C153" s="19">
        <v>3011065746</v>
      </c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AS153" s="29"/>
      <c r="AT153" s="29"/>
      <c r="AU153" s="29">
        <v>407</v>
      </c>
      <c r="AV153" s="29">
        <v>512</v>
      </c>
      <c r="AW153" s="29">
        <v>703</v>
      </c>
      <c r="AX153" s="31">
        <v>540.66666666666663</v>
      </c>
      <c r="AY153" s="78">
        <v>0</v>
      </c>
    </row>
    <row r="154" spans="1:54" x14ac:dyDescent="0.25">
      <c r="A154" s="19" t="s">
        <v>218</v>
      </c>
      <c r="B154" s="18">
        <v>7201104114</v>
      </c>
      <c r="C154" s="19">
        <v>3001871763</v>
      </c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AS154" s="29"/>
      <c r="AT154" s="29">
        <v>885</v>
      </c>
      <c r="AU154" s="29">
        <v>698</v>
      </c>
      <c r="AV154" s="29">
        <v>868</v>
      </c>
      <c r="AW154" s="29"/>
      <c r="AX154" s="31">
        <v>817</v>
      </c>
      <c r="AY154" s="78">
        <v>0</v>
      </c>
    </row>
    <row r="155" spans="1:54" x14ac:dyDescent="0.25">
      <c r="A155" s="19" t="s">
        <v>219</v>
      </c>
      <c r="B155" s="18">
        <v>7203052221</v>
      </c>
      <c r="C155" s="19">
        <v>3000975425</v>
      </c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AS155" s="29"/>
      <c r="AT155" s="29"/>
      <c r="AU155" s="29"/>
      <c r="AV155" s="29"/>
      <c r="AW155" s="29">
        <v>272</v>
      </c>
      <c r="AX155" s="31">
        <v>272</v>
      </c>
      <c r="AY155" s="78">
        <v>0</v>
      </c>
    </row>
    <row r="156" spans="1:54" x14ac:dyDescent="0.25">
      <c r="A156" s="19" t="s">
        <v>220</v>
      </c>
      <c r="B156" s="18"/>
      <c r="C156" s="19">
        <v>3014002885</v>
      </c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AS156" s="29"/>
      <c r="AT156" s="29"/>
      <c r="AU156" s="29"/>
      <c r="AV156" s="29"/>
      <c r="AW156" s="29">
        <v>627</v>
      </c>
      <c r="AX156" s="31">
        <v>627</v>
      </c>
      <c r="AY156" s="78">
        <v>0</v>
      </c>
    </row>
    <row r="157" spans="1:54" x14ac:dyDescent="0.25">
      <c r="A157" s="19" t="s">
        <v>221</v>
      </c>
      <c r="B157" s="18">
        <v>7002851665</v>
      </c>
      <c r="C157" s="19">
        <v>3011864998</v>
      </c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AS157" s="29"/>
      <c r="AT157" s="29"/>
      <c r="AU157" s="29">
        <v>112</v>
      </c>
      <c r="AV157" s="29">
        <v>101</v>
      </c>
      <c r="AW157" s="29">
        <v>119</v>
      </c>
      <c r="AX157" s="31">
        <v>110.66666666666667</v>
      </c>
      <c r="AY157" s="78">
        <v>1</v>
      </c>
    </row>
    <row r="158" spans="1:54" x14ac:dyDescent="0.25">
      <c r="A158" s="19" t="s">
        <v>222</v>
      </c>
      <c r="B158" s="18"/>
      <c r="C158" s="19">
        <v>3010214309</v>
      </c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AS158" s="29"/>
      <c r="AT158" s="29"/>
      <c r="AU158" s="29"/>
      <c r="AV158" s="29"/>
      <c r="AW158" s="29"/>
      <c r="AX158" s="31" t="e">
        <v>#DIV/0!</v>
      </c>
      <c r="AY158" s="78">
        <v>2</v>
      </c>
    </row>
    <row r="159" spans="1:54" x14ac:dyDescent="0.25">
      <c r="A159" s="19" t="s">
        <v>223</v>
      </c>
      <c r="B159" s="18">
        <v>7201802268</v>
      </c>
      <c r="C159" s="19">
        <v>3000811051</v>
      </c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AS159" s="29"/>
      <c r="AT159" s="29"/>
      <c r="AU159" s="29">
        <v>507</v>
      </c>
      <c r="AV159" s="29">
        <v>593</v>
      </c>
      <c r="AW159" s="29">
        <v>594</v>
      </c>
      <c r="AX159" s="31">
        <v>564.66666666666663</v>
      </c>
      <c r="AY159" s="78">
        <v>3</v>
      </c>
      <c r="BA159" s="129"/>
      <c r="BB159" s="129"/>
    </row>
    <row r="160" spans="1:54" x14ac:dyDescent="0.25">
      <c r="A160" s="19"/>
      <c r="B160" s="18"/>
      <c r="C160" s="1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AS160" s="29"/>
      <c r="AT160" s="29"/>
      <c r="AU160" s="29"/>
      <c r="AV160" s="29"/>
      <c r="AW160" s="29"/>
      <c r="AX160" s="31" t="e">
        <v>#DIV/0!</v>
      </c>
      <c r="AY160" s="78">
        <v>4</v>
      </c>
    </row>
    <row r="161" spans="1:54" x14ac:dyDescent="0.25">
      <c r="A161" s="19"/>
      <c r="B161" s="18"/>
      <c r="C161" s="1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31"/>
      <c r="AY161" s="78"/>
    </row>
    <row r="162" spans="1:54" ht="15.75" customHeight="1" x14ac:dyDescent="0.25">
      <c r="A162" s="10" t="s">
        <v>224</v>
      </c>
      <c r="B162" s="10"/>
      <c r="C162" s="10">
        <v>3005061428</v>
      </c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>
        <v>2118</v>
      </c>
      <c r="AA162" s="29">
        <v>2313</v>
      </c>
      <c r="AB162" s="29">
        <v>2452</v>
      </c>
      <c r="AC162" s="29">
        <v>2312</v>
      </c>
      <c r="AD162" s="29">
        <v>2935</v>
      </c>
      <c r="AE162" s="29">
        <v>0</v>
      </c>
      <c r="AF162" s="29">
        <v>0</v>
      </c>
      <c r="AG162" s="29">
        <v>0</v>
      </c>
      <c r="AH162" s="29">
        <v>0</v>
      </c>
      <c r="AI162" s="29">
        <v>0</v>
      </c>
      <c r="AJ162" s="29">
        <v>0</v>
      </c>
      <c r="AK162" s="29"/>
      <c r="AL162" s="29"/>
      <c r="AM162" s="29"/>
      <c r="AN162" s="29"/>
      <c r="AO162" s="29">
        <v>3000</v>
      </c>
      <c r="AP162" s="29"/>
      <c r="AQ162" s="29"/>
      <c r="AR162" s="29"/>
      <c r="AS162" s="29"/>
      <c r="AT162" s="29"/>
      <c r="AU162" s="29"/>
      <c r="AV162" s="29"/>
      <c r="AW162" s="29"/>
      <c r="AX162" s="31"/>
      <c r="AY162" s="78"/>
    </row>
    <row r="163" spans="1:54" ht="15.75" customHeight="1" x14ac:dyDescent="0.25">
      <c r="A163" s="10" t="s">
        <v>224</v>
      </c>
      <c r="B163" s="10"/>
      <c r="C163" s="10">
        <v>3004752949</v>
      </c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>
        <v>742</v>
      </c>
      <c r="S163" s="29">
        <v>692</v>
      </c>
      <c r="T163" s="29">
        <v>798</v>
      </c>
      <c r="U163" s="29">
        <v>780</v>
      </c>
      <c r="V163" s="29">
        <v>860</v>
      </c>
      <c r="W163" s="29">
        <v>717</v>
      </c>
      <c r="X163" s="29">
        <v>715</v>
      </c>
      <c r="Y163" s="29">
        <v>699</v>
      </c>
      <c r="Z163" s="29">
        <v>754</v>
      </c>
      <c r="AA163" s="29">
        <v>643</v>
      </c>
      <c r="AB163" s="29">
        <v>723</v>
      </c>
      <c r="AC163" s="29">
        <v>646</v>
      </c>
      <c r="AD163" s="29">
        <v>721</v>
      </c>
      <c r="AE163" s="29">
        <v>0</v>
      </c>
      <c r="AF163" s="29">
        <v>0</v>
      </c>
      <c r="AG163" s="29">
        <v>0</v>
      </c>
      <c r="AH163" s="29">
        <v>0</v>
      </c>
      <c r="AI163" s="29">
        <v>0</v>
      </c>
      <c r="AJ163" s="29">
        <v>0</v>
      </c>
      <c r="AK163" s="29"/>
      <c r="AL163" s="29"/>
      <c r="AM163" s="29"/>
      <c r="AN163" s="29"/>
      <c r="AO163" s="29">
        <v>700</v>
      </c>
      <c r="AP163" s="29"/>
      <c r="AQ163" s="29"/>
      <c r="AR163" s="29"/>
      <c r="AS163" s="29"/>
      <c r="AT163" s="29"/>
      <c r="AU163" s="29"/>
      <c r="AV163" s="29"/>
      <c r="AW163" s="29"/>
      <c r="AX163" s="31"/>
      <c r="AY163" s="78"/>
    </row>
    <row r="164" spans="1:54" ht="15.75" customHeight="1" x14ac:dyDescent="0.25">
      <c r="A164" s="10" t="s">
        <v>225</v>
      </c>
      <c r="B164" s="10">
        <v>7005279232</v>
      </c>
      <c r="C164" s="10">
        <v>3002175335</v>
      </c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>
        <v>2850</v>
      </c>
      <c r="T164" s="29">
        <v>2730</v>
      </c>
      <c r="U164" s="29">
        <v>2610</v>
      </c>
      <c r="V164" s="29">
        <v>2820</v>
      </c>
      <c r="W164" s="29">
        <v>2820</v>
      </c>
      <c r="X164" s="29">
        <v>2580</v>
      </c>
      <c r="Y164" s="29">
        <v>2910</v>
      </c>
      <c r="Z164" s="29">
        <v>2850</v>
      </c>
      <c r="AA164" s="29">
        <v>2370</v>
      </c>
      <c r="AB164" s="29">
        <v>2760</v>
      </c>
      <c r="AC164" s="29">
        <v>2370</v>
      </c>
      <c r="AD164" s="29">
        <v>2520</v>
      </c>
      <c r="AE164" s="29">
        <v>0</v>
      </c>
      <c r="AF164" s="29">
        <v>0</v>
      </c>
      <c r="AG164" s="29">
        <v>0</v>
      </c>
      <c r="AH164" s="29">
        <v>0</v>
      </c>
      <c r="AI164" s="29">
        <v>0</v>
      </c>
      <c r="AJ164" s="29">
        <v>0</v>
      </c>
      <c r="AK164" s="29"/>
      <c r="AL164" s="29"/>
      <c r="AM164" s="29"/>
      <c r="AN164" s="29"/>
      <c r="AO164" s="29">
        <v>2500</v>
      </c>
      <c r="AP164" s="29"/>
      <c r="AQ164" s="29"/>
      <c r="AR164" s="29"/>
      <c r="AS164" s="29"/>
      <c r="AT164" s="29"/>
      <c r="AU164" s="29"/>
      <c r="AV164" s="29"/>
      <c r="AW164" s="29"/>
      <c r="AX164" s="31"/>
      <c r="AY164" s="78"/>
    </row>
    <row r="165" spans="1:54" ht="15.75" customHeight="1" x14ac:dyDescent="0.25">
      <c r="A165" s="10"/>
      <c r="B165" s="10"/>
      <c r="C165" s="10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>
        <v>3935</v>
      </c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31"/>
      <c r="AY165" s="78"/>
    </row>
    <row r="166" spans="1:54" ht="15.75" customHeight="1" x14ac:dyDescent="0.25">
      <c r="C166" s="32" t="s">
        <v>226</v>
      </c>
      <c r="D166" s="83">
        <f t="shared" ref="D166:AR166" si="0">SUM(D2:D165)</f>
        <v>66877</v>
      </c>
      <c r="E166" s="83">
        <f t="shared" si="0"/>
        <v>61913</v>
      </c>
      <c r="F166" s="83">
        <f t="shared" si="0"/>
        <v>68227</v>
      </c>
      <c r="G166" s="83">
        <f t="shared" si="0"/>
        <v>71867</v>
      </c>
      <c r="H166" s="83">
        <f t="shared" si="0"/>
        <v>76848</v>
      </c>
      <c r="I166" s="83">
        <f t="shared" si="0"/>
        <v>83677</v>
      </c>
      <c r="J166" s="83">
        <f t="shared" si="0"/>
        <v>68996</v>
      </c>
      <c r="K166" s="83">
        <f t="shared" si="0"/>
        <v>66419</v>
      </c>
      <c r="L166" s="83">
        <f t="shared" si="0"/>
        <v>78100</v>
      </c>
      <c r="M166" s="83">
        <f t="shared" si="0"/>
        <v>77146</v>
      </c>
      <c r="N166" s="83">
        <f t="shared" si="0"/>
        <v>70861</v>
      </c>
      <c r="O166" s="83">
        <f t="shared" si="0"/>
        <v>70695</v>
      </c>
      <c r="P166" s="83">
        <f t="shared" si="0"/>
        <v>70139</v>
      </c>
      <c r="Q166" s="83">
        <f t="shared" si="0"/>
        <v>69656</v>
      </c>
      <c r="R166" s="83">
        <f t="shared" si="0"/>
        <v>77438</v>
      </c>
      <c r="S166" s="83">
        <f t="shared" si="0"/>
        <v>65110</v>
      </c>
      <c r="T166" s="83">
        <f t="shared" si="0"/>
        <v>76125</v>
      </c>
      <c r="U166" s="83">
        <f t="shared" si="0"/>
        <v>68315</v>
      </c>
      <c r="V166" s="83">
        <f t="shared" si="0"/>
        <v>65254</v>
      </c>
      <c r="W166" s="83">
        <f t="shared" si="0"/>
        <v>78582</v>
      </c>
      <c r="X166" s="83">
        <f t="shared" si="0"/>
        <v>68801</v>
      </c>
      <c r="Y166" s="83">
        <f t="shared" si="0"/>
        <v>68974</v>
      </c>
      <c r="Z166" s="83">
        <f t="shared" si="0"/>
        <v>68966</v>
      </c>
      <c r="AA166" s="83">
        <f t="shared" si="0"/>
        <v>63173</v>
      </c>
      <c r="AB166" s="83">
        <f t="shared" si="0"/>
        <v>70998</v>
      </c>
      <c r="AC166" s="83">
        <f t="shared" si="0"/>
        <v>74408</v>
      </c>
      <c r="AD166" s="83">
        <f t="shared" si="0"/>
        <v>83537</v>
      </c>
      <c r="AE166" s="83">
        <f t="shared" si="0"/>
        <v>110806</v>
      </c>
      <c r="AF166" s="83">
        <f t="shared" si="0"/>
        <v>113468</v>
      </c>
      <c r="AG166" s="83">
        <f t="shared" si="0"/>
        <v>108572</v>
      </c>
      <c r="AH166" s="83">
        <f t="shared" si="0"/>
        <v>114499</v>
      </c>
      <c r="AI166" s="83">
        <f t="shared" si="0"/>
        <v>99793</v>
      </c>
      <c r="AJ166" s="83">
        <f t="shared" si="0"/>
        <v>123510</v>
      </c>
      <c r="AK166" s="83">
        <f t="shared" si="0"/>
        <v>136174</v>
      </c>
      <c r="AL166" s="83">
        <f t="shared" si="0"/>
        <v>126798</v>
      </c>
      <c r="AM166" s="83">
        <f t="shared" si="0"/>
        <v>123470</v>
      </c>
      <c r="AN166" s="83">
        <f t="shared" si="0"/>
        <v>125718</v>
      </c>
      <c r="AO166" s="83">
        <f t="shared" si="0"/>
        <v>127237</v>
      </c>
      <c r="AP166" s="83">
        <f t="shared" si="0"/>
        <v>129116</v>
      </c>
      <c r="AQ166" s="83">
        <f t="shared" si="0"/>
        <v>148018</v>
      </c>
      <c r="AR166" s="83">
        <f t="shared" si="0"/>
        <v>127098</v>
      </c>
      <c r="AS166" s="83"/>
      <c r="AT166" s="83"/>
      <c r="AU166" s="83">
        <f>SUM(AU2:AU165)</f>
        <v>303176</v>
      </c>
      <c r="AV166" s="83">
        <f>SUM(AV2:AV165)</f>
        <v>302994</v>
      </c>
      <c r="AW166" s="83">
        <f>SUM(AW2:AW165)</f>
        <v>262137</v>
      </c>
      <c r="AX166" s="77" t="e">
        <f>SUM(AX2:AX165)</f>
        <v>#DIV/0!</v>
      </c>
      <c r="AY166" s="79">
        <f>SUM(AY2:AY165)</f>
        <v>174888</v>
      </c>
    </row>
    <row r="167" spans="1:54" ht="15.75" customHeight="1" x14ac:dyDescent="0.25">
      <c r="AX167" s="26"/>
    </row>
    <row r="168" spans="1:54" ht="15.75" customHeight="1" x14ac:dyDescent="0.25">
      <c r="AX168" s="26"/>
    </row>
    <row r="169" spans="1:54" ht="15.75" customHeight="1" x14ac:dyDescent="0.25">
      <c r="AX169" s="26"/>
    </row>
    <row r="170" spans="1:54" ht="15.75" customHeight="1" x14ac:dyDescent="0.25">
      <c r="A170" s="33" t="s">
        <v>122</v>
      </c>
      <c r="B170" s="34">
        <v>7201768092</v>
      </c>
      <c r="C170" s="34">
        <v>3013497957</v>
      </c>
      <c r="D170" s="29">
        <v>35547</v>
      </c>
      <c r="E170" s="29">
        <v>38621</v>
      </c>
      <c r="F170" s="29">
        <v>43317</v>
      </c>
      <c r="G170" s="29">
        <v>38413</v>
      </c>
      <c r="H170" s="29">
        <v>39665</v>
      </c>
      <c r="I170" s="29">
        <v>34286</v>
      </c>
      <c r="J170" s="29">
        <v>38384</v>
      </c>
      <c r="K170" s="29">
        <v>40813</v>
      </c>
      <c r="L170" s="29">
        <v>39741</v>
      </c>
      <c r="M170" s="29">
        <v>39410</v>
      </c>
      <c r="N170" s="29">
        <v>36895</v>
      </c>
      <c r="O170" s="29">
        <v>35920</v>
      </c>
      <c r="P170" s="29">
        <v>43200</v>
      </c>
      <c r="Q170" s="29">
        <v>38640</v>
      </c>
      <c r="R170" s="29">
        <v>41280</v>
      </c>
      <c r="S170" s="29">
        <v>49120</v>
      </c>
      <c r="T170" s="29">
        <v>29000</v>
      </c>
      <c r="U170" s="29">
        <v>33930</v>
      </c>
      <c r="V170" s="29">
        <v>38844</v>
      </c>
      <c r="W170" s="29">
        <v>34778</v>
      </c>
      <c r="X170" s="29">
        <v>30888</v>
      </c>
      <c r="Y170" s="29">
        <v>42974</v>
      </c>
      <c r="Z170" s="29">
        <v>39312</v>
      </c>
      <c r="AA170" s="29">
        <v>40634</v>
      </c>
      <c r="AB170" s="29">
        <v>39306</v>
      </c>
      <c r="AC170" s="29">
        <v>37826</v>
      </c>
      <c r="AD170" s="29">
        <v>35798</v>
      </c>
      <c r="AE170" s="29">
        <v>38142</v>
      </c>
      <c r="AF170" s="29">
        <v>29558</v>
      </c>
      <c r="AG170" s="29">
        <v>31920</v>
      </c>
      <c r="AH170" s="29">
        <v>28320</v>
      </c>
      <c r="AI170" s="29">
        <v>37040</v>
      </c>
      <c r="AJ170" s="29">
        <v>35120</v>
      </c>
      <c r="AK170" s="29">
        <v>53300</v>
      </c>
      <c r="AL170" s="29">
        <v>47500</v>
      </c>
      <c r="AM170" s="29">
        <v>53900</v>
      </c>
      <c r="AN170" s="29">
        <v>55536</v>
      </c>
      <c r="AO170" s="29">
        <v>56678</v>
      </c>
      <c r="AP170" s="29">
        <v>55614</v>
      </c>
      <c r="AQ170" s="29"/>
      <c r="AR170" s="29"/>
      <c r="AS170" s="29"/>
      <c r="AT170" s="29"/>
      <c r="AU170" s="29"/>
      <c r="AV170" s="29"/>
      <c r="AW170" s="29"/>
      <c r="AX170" s="31">
        <f>IF(AO170&gt;0,AVERAGE(AM170:AO170),AVERAGE(AL170:AN170))</f>
        <v>55371.333333333336</v>
      </c>
    </row>
    <row r="171" spans="1:54" ht="15.75" customHeight="1" x14ac:dyDescent="0.25">
      <c r="A171" s="33" t="s">
        <v>86</v>
      </c>
      <c r="B171" s="34">
        <v>7201768092</v>
      </c>
      <c r="C171" s="34">
        <v>3009018668</v>
      </c>
      <c r="D171" s="29">
        <v>26570</v>
      </c>
      <c r="E171" s="29">
        <v>30184.3</v>
      </c>
      <c r="F171" s="29">
        <v>35832.5</v>
      </c>
      <c r="G171" s="29">
        <v>36092.699999999997</v>
      </c>
      <c r="H171" s="29">
        <v>37309.699999999997</v>
      </c>
      <c r="I171" s="29">
        <v>33644.1</v>
      </c>
      <c r="J171" s="29">
        <v>39587.899999999994</v>
      </c>
      <c r="K171" s="29">
        <v>35736</v>
      </c>
      <c r="L171" s="29">
        <v>34675</v>
      </c>
      <c r="M171" s="29">
        <v>30994</v>
      </c>
      <c r="N171" s="29">
        <v>27113</v>
      </c>
      <c r="O171" s="29">
        <v>28498</v>
      </c>
      <c r="P171" s="29">
        <v>26570</v>
      </c>
      <c r="Q171" s="29">
        <v>28733</v>
      </c>
      <c r="R171" s="29">
        <v>29800</v>
      </c>
      <c r="S171" s="29">
        <v>41000</v>
      </c>
      <c r="T171" s="29">
        <v>32500</v>
      </c>
      <c r="U171" s="29">
        <v>31850</v>
      </c>
      <c r="V171" s="29">
        <v>22750</v>
      </c>
      <c r="W171" s="29">
        <v>31500</v>
      </c>
      <c r="X171" s="29">
        <v>18900</v>
      </c>
      <c r="Y171" s="29">
        <v>31500</v>
      </c>
      <c r="Z171" s="29">
        <v>26950</v>
      </c>
      <c r="AA171" s="29">
        <v>20300</v>
      </c>
      <c r="AB171" s="29">
        <v>18550</v>
      </c>
      <c r="AC171" s="29">
        <v>21350</v>
      </c>
      <c r="AD171" s="29">
        <v>21350</v>
      </c>
      <c r="AE171" s="29">
        <v>31823</v>
      </c>
      <c r="AF171" s="29">
        <v>27049</v>
      </c>
      <c r="AG171" s="29">
        <v>34004</v>
      </c>
      <c r="AH171" s="29">
        <v>30538</v>
      </c>
      <c r="AI171" s="29">
        <v>36368.050000000003</v>
      </c>
      <c r="AJ171" s="29">
        <v>26946</v>
      </c>
      <c r="AK171" s="29">
        <v>39710</v>
      </c>
      <c r="AL171" s="29">
        <v>33630</v>
      </c>
      <c r="AM171" s="29">
        <v>29950</v>
      </c>
      <c r="AN171" s="29">
        <v>24310</v>
      </c>
      <c r="AO171" s="29">
        <v>21470</v>
      </c>
      <c r="AP171" s="29">
        <v>21470</v>
      </c>
      <c r="AQ171" s="29">
        <v>21470</v>
      </c>
      <c r="AR171" s="29">
        <v>21470</v>
      </c>
      <c r="AS171" s="29"/>
      <c r="AT171" s="29"/>
      <c r="AU171" s="29"/>
      <c r="AV171" s="29"/>
      <c r="AW171" s="29"/>
      <c r="AX171" s="31">
        <v>0</v>
      </c>
      <c r="AZ171" s="132"/>
      <c r="BA171" s="132"/>
      <c r="BB171" s="132"/>
    </row>
    <row r="172" spans="1:54" ht="15.75" customHeight="1" x14ac:dyDescent="0.25">
      <c r="A172" s="33" t="s">
        <v>227</v>
      </c>
      <c r="B172" s="34"/>
      <c r="C172" s="34">
        <v>3013483817</v>
      </c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31">
        <v>469700</v>
      </c>
      <c r="AZ172" s="132"/>
      <c r="BA172" s="132"/>
      <c r="BB172" s="132"/>
    </row>
    <row r="173" spans="1:54" ht="15.75" customHeight="1" x14ac:dyDescent="0.25">
      <c r="A173" s="33" t="s">
        <v>228</v>
      </c>
      <c r="B173" s="34">
        <v>7201768092</v>
      </c>
      <c r="C173" s="34">
        <v>3007768063</v>
      </c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31">
        <v>12000</v>
      </c>
      <c r="AZ173" s="131"/>
      <c r="BA173" s="131"/>
      <c r="BB173" s="131"/>
    </row>
    <row r="174" spans="1:54" ht="15.75" customHeight="1" x14ac:dyDescent="0.25">
      <c r="A174" s="33" t="s">
        <v>229</v>
      </c>
      <c r="B174" s="34">
        <v>7201768092</v>
      </c>
      <c r="C174" s="34">
        <v>3014922778</v>
      </c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31">
        <v>12000</v>
      </c>
      <c r="AZ174" s="131"/>
      <c r="BA174" s="131"/>
      <c r="BB174" s="131"/>
    </row>
    <row r="175" spans="1:54" ht="15.75" customHeight="1" x14ac:dyDescent="0.25">
      <c r="A175" s="33" t="s">
        <v>230</v>
      </c>
      <c r="B175" s="34">
        <v>7201768092</v>
      </c>
      <c r="C175" s="34">
        <v>3013771324</v>
      </c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31">
        <v>1000</v>
      </c>
    </row>
    <row r="176" spans="1:54" ht="15.75" customHeight="1" x14ac:dyDescent="0.25">
      <c r="A176" s="33" t="s">
        <v>231</v>
      </c>
      <c r="B176" s="34">
        <v>7201768092</v>
      </c>
      <c r="C176" s="121">
        <v>3013939291</v>
      </c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31">
        <v>1000</v>
      </c>
    </row>
    <row r="177" spans="1:50" ht="15.75" customHeight="1" x14ac:dyDescent="0.25">
      <c r="A177" s="33" t="s">
        <v>232</v>
      </c>
      <c r="B177" s="34">
        <v>7201768092</v>
      </c>
      <c r="C177" s="121">
        <v>3013939295</v>
      </c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50"/>
      <c r="AX177" s="31">
        <v>1000</v>
      </c>
    </row>
    <row r="178" spans="1:50" ht="15.75" customHeight="1" x14ac:dyDescent="0.25">
      <c r="C178" s="32" t="s">
        <v>226</v>
      </c>
      <c r="D178" s="83">
        <f t="shared" ref="D178:AR178" si="1">SUM(D170:D172)</f>
        <v>62117</v>
      </c>
      <c r="E178" s="83">
        <f t="shared" si="1"/>
        <v>68805.3</v>
      </c>
      <c r="F178" s="83">
        <f t="shared" si="1"/>
        <v>79149.5</v>
      </c>
      <c r="G178" s="83">
        <f t="shared" si="1"/>
        <v>74505.7</v>
      </c>
      <c r="H178" s="83">
        <f t="shared" si="1"/>
        <v>76974.7</v>
      </c>
      <c r="I178" s="83">
        <f t="shared" si="1"/>
        <v>67930.100000000006</v>
      </c>
      <c r="J178" s="83">
        <f t="shared" si="1"/>
        <v>77971.899999999994</v>
      </c>
      <c r="K178" s="83">
        <f t="shared" si="1"/>
        <v>76549</v>
      </c>
      <c r="L178" s="83">
        <f t="shared" si="1"/>
        <v>74416</v>
      </c>
      <c r="M178" s="83">
        <f t="shared" si="1"/>
        <v>70404</v>
      </c>
      <c r="N178" s="83">
        <f t="shared" si="1"/>
        <v>64008</v>
      </c>
      <c r="O178" s="83">
        <f t="shared" si="1"/>
        <v>64418</v>
      </c>
      <c r="P178" s="83">
        <f t="shared" si="1"/>
        <v>69770</v>
      </c>
      <c r="Q178" s="83">
        <f t="shared" si="1"/>
        <v>67373</v>
      </c>
      <c r="R178" s="83">
        <f t="shared" si="1"/>
        <v>71080</v>
      </c>
      <c r="S178" s="83">
        <f t="shared" si="1"/>
        <v>90120</v>
      </c>
      <c r="T178" s="83">
        <f t="shared" si="1"/>
        <v>61500</v>
      </c>
      <c r="U178" s="83">
        <f t="shared" si="1"/>
        <v>65780</v>
      </c>
      <c r="V178" s="83">
        <f t="shared" si="1"/>
        <v>61594</v>
      </c>
      <c r="W178" s="83">
        <f t="shared" si="1"/>
        <v>66278</v>
      </c>
      <c r="X178" s="83">
        <f t="shared" si="1"/>
        <v>49788</v>
      </c>
      <c r="Y178" s="83">
        <f t="shared" si="1"/>
        <v>74474</v>
      </c>
      <c r="Z178" s="83">
        <f t="shared" si="1"/>
        <v>66262</v>
      </c>
      <c r="AA178" s="83">
        <f t="shared" si="1"/>
        <v>60934</v>
      </c>
      <c r="AB178" s="83">
        <f t="shared" si="1"/>
        <v>57856</v>
      </c>
      <c r="AC178" s="83">
        <f t="shared" si="1"/>
        <v>59176</v>
      </c>
      <c r="AD178" s="83">
        <f t="shared" si="1"/>
        <v>57148</v>
      </c>
      <c r="AE178" s="83">
        <f t="shared" si="1"/>
        <v>69965</v>
      </c>
      <c r="AF178" s="83">
        <f t="shared" si="1"/>
        <v>56607</v>
      </c>
      <c r="AG178" s="83">
        <f t="shared" si="1"/>
        <v>65924</v>
      </c>
      <c r="AH178" s="83">
        <f t="shared" si="1"/>
        <v>58858</v>
      </c>
      <c r="AI178" s="83">
        <f t="shared" si="1"/>
        <v>73408.05</v>
      </c>
      <c r="AJ178" s="83">
        <f t="shared" si="1"/>
        <v>62066</v>
      </c>
      <c r="AK178" s="83">
        <f t="shared" si="1"/>
        <v>93010</v>
      </c>
      <c r="AL178" s="83">
        <f t="shared" si="1"/>
        <v>81130</v>
      </c>
      <c r="AM178" s="83">
        <f t="shared" si="1"/>
        <v>83850</v>
      </c>
      <c r="AN178" s="83">
        <f t="shared" si="1"/>
        <v>79846</v>
      </c>
      <c r="AO178" s="83">
        <f t="shared" si="1"/>
        <v>78148</v>
      </c>
      <c r="AP178" s="83">
        <f t="shared" si="1"/>
        <v>77084</v>
      </c>
      <c r="AQ178" s="83">
        <f t="shared" si="1"/>
        <v>21470</v>
      </c>
      <c r="AR178" s="83">
        <f t="shared" si="1"/>
        <v>21470</v>
      </c>
      <c r="AS178" s="83"/>
      <c r="AT178" s="83"/>
      <c r="AU178" s="83">
        <f>SUM(AU170:AU172)</f>
        <v>0</v>
      </c>
      <c r="AV178" s="83">
        <f>SUM(AV170:AV172)</f>
        <v>0</v>
      </c>
      <c r="AW178" s="83">
        <f>SUM(AW170:AW172)</f>
        <v>0</v>
      </c>
      <c r="AX178" s="77">
        <f>SUM(AX170:AX177)</f>
        <v>552071.33333333337</v>
      </c>
    </row>
    <row r="179" spans="1:50" ht="15.75" customHeight="1" x14ac:dyDescent="0.25"/>
    <row r="180" spans="1:50" ht="15.75" customHeight="1" x14ac:dyDescent="0.25"/>
    <row r="181" spans="1:50" ht="15.75" customHeight="1" x14ac:dyDescent="0.25"/>
    <row r="182" spans="1:50" ht="15.75" customHeight="1" x14ac:dyDescent="0.25"/>
    <row r="183" spans="1:50" ht="15.75" customHeight="1" x14ac:dyDescent="0.25"/>
    <row r="184" spans="1:50" ht="15.75" customHeight="1" x14ac:dyDescent="0.25"/>
    <row r="185" spans="1:50" ht="15.75" customHeight="1" x14ac:dyDescent="0.25"/>
    <row r="186" spans="1:50" ht="15.75" customHeight="1" x14ac:dyDescent="0.25"/>
    <row r="187" spans="1:50" ht="15.75" customHeight="1" x14ac:dyDescent="0.25"/>
    <row r="188" spans="1:50" ht="15.75" customHeight="1" x14ac:dyDescent="0.25"/>
    <row r="189" spans="1:50" ht="15.75" customHeight="1" x14ac:dyDescent="0.25"/>
    <row r="190" spans="1:50" ht="15.75" customHeight="1" x14ac:dyDescent="0.25"/>
    <row r="191" spans="1:50" ht="15.75" customHeight="1" x14ac:dyDescent="0.25"/>
    <row r="192" spans="1:50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</sheetData>
  <autoFilter ref="A1:BP160" xr:uid="{4493020D-F1DB-4273-BEF2-3BC550434668}"/>
  <phoneticPr fontId="10" type="noConversion"/>
  <pageMargins left="0.51181102362204722" right="0.51181102362204722" top="0.78740157480314965" bottom="0.78740157480314965" header="0" footer="0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6BFAB-56B1-4CE8-B51B-C2D4CD49E04B}">
  <dimension ref="A1:M146"/>
  <sheetViews>
    <sheetView tabSelected="1" workbookViewId="0">
      <selection activeCell="Q18" sqref="Q18"/>
    </sheetView>
  </sheetViews>
  <sheetFormatPr defaultRowHeight="15" x14ac:dyDescent="0.25"/>
  <cols>
    <col min="1" max="1" width="11" style="136" bestFit="1" customWidth="1"/>
    <col min="2" max="2" width="13.140625" style="136" customWidth="1"/>
    <col min="3" max="3" width="15.140625" style="136" customWidth="1"/>
    <col min="4" max="4" width="11" style="136" customWidth="1"/>
    <col min="5" max="5" width="8.85546875" style="136" customWidth="1"/>
    <col min="6" max="6" width="7.140625" style="136" bestFit="1" customWidth="1"/>
    <col min="7" max="7" width="7.7109375" style="136" bestFit="1" customWidth="1"/>
    <col min="8" max="8" width="13.140625" style="136" bestFit="1" customWidth="1"/>
    <col min="9" max="9" width="7.140625" style="136" bestFit="1" customWidth="1"/>
    <col min="10" max="10" width="12.7109375" style="136" bestFit="1" customWidth="1"/>
    <col min="11" max="13" width="9.7109375" style="136" bestFit="1" customWidth="1"/>
    <col min="14" max="16384" width="9.140625" style="135"/>
  </cols>
  <sheetData>
    <row r="1" spans="1:13" ht="45" x14ac:dyDescent="0.25">
      <c r="A1" s="134" t="s">
        <v>105</v>
      </c>
      <c r="B1" s="134" t="s">
        <v>233</v>
      </c>
      <c r="C1" s="134" t="s">
        <v>102</v>
      </c>
      <c r="D1" s="134" t="s">
        <v>101</v>
      </c>
      <c r="E1" s="134" t="s">
        <v>103</v>
      </c>
      <c r="F1" s="134" t="s">
        <v>234</v>
      </c>
      <c r="G1" s="134" t="s">
        <v>86</v>
      </c>
      <c r="H1" s="134" t="s">
        <v>235</v>
      </c>
      <c r="I1" s="134" t="s">
        <v>236</v>
      </c>
      <c r="J1" s="134" t="s">
        <v>237</v>
      </c>
      <c r="K1" s="134" t="s">
        <v>238</v>
      </c>
      <c r="L1" s="134" t="s">
        <v>239</v>
      </c>
      <c r="M1" s="134" t="s">
        <v>240</v>
      </c>
    </row>
    <row r="2" spans="1:13" x14ac:dyDescent="0.25">
      <c r="A2" s="136">
        <v>3013533951</v>
      </c>
      <c r="C2" s="136">
        <v>42273</v>
      </c>
      <c r="E2" s="136">
        <v>0</v>
      </c>
      <c r="F2" s="137">
        <v>0</v>
      </c>
      <c r="G2" s="137">
        <v>0</v>
      </c>
      <c r="H2" s="137">
        <v>0.09</v>
      </c>
      <c r="I2" s="137">
        <v>0</v>
      </c>
      <c r="J2" s="137">
        <v>0</v>
      </c>
      <c r="L2" s="137">
        <v>0</v>
      </c>
      <c r="M2" s="137">
        <v>0</v>
      </c>
    </row>
    <row r="3" spans="1:13" x14ac:dyDescent="0.25">
      <c r="A3" s="136">
        <v>3014589151</v>
      </c>
      <c r="B3" s="136">
        <v>17627</v>
      </c>
      <c r="C3" s="136">
        <v>15035</v>
      </c>
      <c r="D3" s="138">
        <v>0.85</v>
      </c>
      <c r="E3" s="136">
        <v>2675</v>
      </c>
      <c r="F3" s="137">
        <v>1E-4</v>
      </c>
      <c r="G3" s="137">
        <v>0</v>
      </c>
      <c r="H3" s="137">
        <v>3.2000000000000001E-2</v>
      </c>
      <c r="I3" s="137">
        <v>0</v>
      </c>
      <c r="J3" s="137">
        <v>0</v>
      </c>
      <c r="K3" s="137">
        <v>0</v>
      </c>
      <c r="L3" s="137">
        <v>0</v>
      </c>
      <c r="M3" s="137">
        <v>0</v>
      </c>
    </row>
    <row r="4" spans="1:13" x14ac:dyDescent="0.25">
      <c r="A4" s="136">
        <v>3010494037</v>
      </c>
      <c r="B4" s="136">
        <v>13467</v>
      </c>
      <c r="C4" s="136">
        <v>11278</v>
      </c>
      <c r="D4" s="138">
        <v>0.84</v>
      </c>
      <c r="E4" s="136">
        <v>8076</v>
      </c>
      <c r="F4" s="137">
        <v>1E-4</v>
      </c>
      <c r="G4" s="137">
        <v>0</v>
      </c>
      <c r="H4" s="137">
        <v>2.4E-2</v>
      </c>
      <c r="I4" s="137">
        <v>0</v>
      </c>
      <c r="J4" s="137">
        <v>0</v>
      </c>
      <c r="K4" s="137">
        <v>0</v>
      </c>
      <c r="L4" s="137">
        <v>0</v>
      </c>
      <c r="M4" s="137">
        <v>0</v>
      </c>
    </row>
    <row r="5" spans="1:13" x14ac:dyDescent="0.25">
      <c r="A5" s="136">
        <v>3009003168</v>
      </c>
      <c r="B5" s="136">
        <v>10578</v>
      </c>
      <c r="C5" s="136">
        <v>10338</v>
      </c>
      <c r="D5" s="138">
        <v>0.98</v>
      </c>
      <c r="E5" s="136">
        <v>1399</v>
      </c>
      <c r="F5" s="137">
        <v>1E-4</v>
      </c>
      <c r="G5" s="137">
        <v>0</v>
      </c>
      <c r="H5" s="137">
        <v>2.1999999999999999E-2</v>
      </c>
      <c r="I5" s="137">
        <v>0</v>
      </c>
      <c r="J5" s="137">
        <v>0</v>
      </c>
      <c r="L5" s="137">
        <v>0</v>
      </c>
      <c r="M5" s="137">
        <v>0</v>
      </c>
    </row>
    <row r="6" spans="1:13" x14ac:dyDescent="0.25">
      <c r="A6" s="136">
        <v>3011681338</v>
      </c>
      <c r="B6" s="136">
        <v>12387</v>
      </c>
      <c r="C6" s="136">
        <v>9399</v>
      </c>
      <c r="D6" s="138">
        <v>0.76</v>
      </c>
      <c r="E6" s="136">
        <v>6780</v>
      </c>
      <c r="F6" s="137">
        <v>1E-4</v>
      </c>
      <c r="G6" s="137">
        <v>0</v>
      </c>
      <c r="H6" s="137">
        <v>0.02</v>
      </c>
      <c r="I6" s="137">
        <v>0</v>
      </c>
      <c r="J6" s="137">
        <v>0</v>
      </c>
      <c r="K6" s="137">
        <v>0.15</v>
      </c>
      <c r="L6" s="137">
        <v>0.15</v>
      </c>
      <c r="M6" s="137">
        <v>0.15</v>
      </c>
    </row>
    <row r="7" spans="1:13" x14ac:dyDescent="0.25">
      <c r="A7" s="136">
        <v>3001084033</v>
      </c>
      <c r="B7" s="136">
        <v>7707</v>
      </c>
      <c r="C7" s="136">
        <v>15221</v>
      </c>
      <c r="D7" s="138">
        <v>1.98</v>
      </c>
      <c r="E7" s="136">
        <v>19766</v>
      </c>
      <c r="F7" s="137">
        <v>0.1</v>
      </c>
      <c r="G7" s="137">
        <v>0.1</v>
      </c>
      <c r="H7" s="137">
        <v>1.4999999999999999E-2</v>
      </c>
      <c r="I7" s="137">
        <v>0</v>
      </c>
      <c r="J7" s="137">
        <v>0</v>
      </c>
      <c r="K7" s="137">
        <v>0</v>
      </c>
      <c r="L7" s="137">
        <v>0</v>
      </c>
      <c r="M7" s="137">
        <v>0</v>
      </c>
    </row>
    <row r="8" spans="1:13" x14ac:dyDescent="0.25">
      <c r="A8" s="136">
        <v>3002725236</v>
      </c>
      <c r="B8" s="136">
        <v>7720</v>
      </c>
      <c r="C8" s="136">
        <v>6581</v>
      </c>
      <c r="D8" s="138">
        <v>0.85</v>
      </c>
      <c r="E8" s="136">
        <v>0</v>
      </c>
      <c r="F8" s="137">
        <v>1E-4</v>
      </c>
      <c r="G8" s="137">
        <v>0</v>
      </c>
      <c r="H8" s="137">
        <v>1.4E-2</v>
      </c>
      <c r="I8" s="137">
        <v>0</v>
      </c>
      <c r="J8" s="137">
        <v>0</v>
      </c>
      <c r="K8" s="137">
        <v>0</v>
      </c>
      <c r="L8" s="137">
        <v>0</v>
      </c>
      <c r="M8" s="137">
        <v>0</v>
      </c>
    </row>
    <row r="9" spans="1:13" x14ac:dyDescent="0.25">
      <c r="A9" s="136">
        <v>3003870642</v>
      </c>
      <c r="B9" s="136">
        <v>6441</v>
      </c>
      <c r="C9" s="136">
        <v>5406</v>
      </c>
      <c r="D9" s="138">
        <v>0.84</v>
      </c>
      <c r="E9" s="136">
        <v>0</v>
      </c>
      <c r="F9" s="137">
        <v>1E-4</v>
      </c>
      <c r="G9" s="137">
        <v>0</v>
      </c>
      <c r="H9" s="137">
        <v>1.15E-2</v>
      </c>
      <c r="I9" s="137">
        <v>0</v>
      </c>
      <c r="J9" s="137">
        <v>0</v>
      </c>
      <c r="L9" s="137">
        <v>0</v>
      </c>
      <c r="M9" s="137">
        <v>0</v>
      </c>
    </row>
    <row r="10" spans="1:13" x14ac:dyDescent="0.25">
      <c r="A10" s="136">
        <v>3014085351</v>
      </c>
      <c r="B10" s="136">
        <v>5400</v>
      </c>
      <c r="C10" s="136">
        <v>5406</v>
      </c>
      <c r="D10" s="138">
        <v>1</v>
      </c>
      <c r="E10" s="136">
        <v>0</v>
      </c>
      <c r="F10" s="137">
        <v>1E-4</v>
      </c>
      <c r="G10" s="137">
        <v>0</v>
      </c>
      <c r="H10" s="137">
        <v>1.15E-2</v>
      </c>
      <c r="I10" s="137">
        <v>0</v>
      </c>
      <c r="J10" s="137">
        <v>0</v>
      </c>
      <c r="L10" s="137">
        <v>0</v>
      </c>
      <c r="M10" s="137">
        <v>0</v>
      </c>
    </row>
    <row r="11" spans="1:13" x14ac:dyDescent="0.25">
      <c r="A11" s="136">
        <v>3013175523</v>
      </c>
      <c r="B11" s="136">
        <v>4005</v>
      </c>
      <c r="C11" s="136">
        <v>6942</v>
      </c>
      <c r="D11" s="138">
        <v>1.73</v>
      </c>
      <c r="E11" s="136">
        <v>19960</v>
      </c>
      <c r="F11" s="137">
        <v>3.6900000000000002E-2</v>
      </c>
      <c r="G11" s="137">
        <v>0</v>
      </c>
      <c r="H11" s="137">
        <v>1.0999999999999999E-2</v>
      </c>
      <c r="I11" s="137">
        <v>0</v>
      </c>
      <c r="J11" s="137">
        <v>0</v>
      </c>
      <c r="K11" s="137">
        <v>0.15</v>
      </c>
      <c r="L11" s="137">
        <v>0.15</v>
      </c>
      <c r="M11" s="137">
        <v>0.15</v>
      </c>
    </row>
    <row r="12" spans="1:13" x14ac:dyDescent="0.25">
      <c r="A12" s="136">
        <v>3010212220</v>
      </c>
      <c r="B12" s="136">
        <v>6824</v>
      </c>
      <c r="C12" s="136">
        <v>4702</v>
      </c>
      <c r="D12" s="138">
        <v>0.69</v>
      </c>
      <c r="E12" s="136">
        <v>0</v>
      </c>
      <c r="F12" s="137">
        <v>1E-4</v>
      </c>
      <c r="G12" s="137">
        <v>0</v>
      </c>
      <c r="H12" s="137">
        <v>0.01</v>
      </c>
      <c r="I12" s="137">
        <v>0</v>
      </c>
      <c r="J12" s="137">
        <v>0</v>
      </c>
      <c r="L12" s="137">
        <v>0</v>
      </c>
      <c r="M12" s="137">
        <v>0</v>
      </c>
    </row>
    <row r="13" spans="1:13" x14ac:dyDescent="0.25">
      <c r="A13" s="136">
        <v>3011905434</v>
      </c>
      <c r="B13" s="136">
        <v>4830</v>
      </c>
      <c r="C13" s="136">
        <v>4702</v>
      </c>
      <c r="D13" s="138">
        <v>0.97</v>
      </c>
      <c r="E13" s="136">
        <v>503</v>
      </c>
      <c r="F13" s="137">
        <v>1E-4</v>
      </c>
      <c r="G13" s="137">
        <v>0</v>
      </c>
      <c r="H13" s="137">
        <v>0.01</v>
      </c>
      <c r="I13" s="137">
        <v>0</v>
      </c>
      <c r="J13" s="137">
        <v>0</v>
      </c>
      <c r="L13" s="137">
        <v>0</v>
      </c>
      <c r="M13" s="137">
        <v>0</v>
      </c>
    </row>
    <row r="14" spans="1:13" x14ac:dyDescent="0.25">
      <c r="A14" s="136">
        <v>3003388708</v>
      </c>
      <c r="B14" s="136">
        <v>5293</v>
      </c>
      <c r="C14" s="136">
        <v>4467</v>
      </c>
      <c r="D14" s="138">
        <v>0.84</v>
      </c>
      <c r="E14" s="136">
        <v>2658</v>
      </c>
      <c r="F14" s="137">
        <v>1E-4</v>
      </c>
      <c r="G14" s="137">
        <v>0</v>
      </c>
      <c r="H14" s="137">
        <v>9.4999999999999998E-3</v>
      </c>
      <c r="I14" s="137">
        <v>0</v>
      </c>
      <c r="J14" s="137">
        <v>0</v>
      </c>
      <c r="K14" s="137">
        <v>0</v>
      </c>
      <c r="L14" s="137">
        <v>0</v>
      </c>
      <c r="M14" s="137">
        <v>0</v>
      </c>
    </row>
    <row r="15" spans="1:13" x14ac:dyDescent="0.25">
      <c r="A15" s="136">
        <v>3000227098</v>
      </c>
      <c r="B15" s="136">
        <v>4561</v>
      </c>
      <c r="C15" s="136">
        <v>3762</v>
      </c>
      <c r="D15" s="138">
        <v>0.82</v>
      </c>
      <c r="E15" s="136">
        <v>9716</v>
      </c>
      <c r="F15" s="137">
        <v>1E-4</v>
      </c>
      <c r="G15" s="137">
        <v>0</v>
      </c>
      <c r="H15" s="137">
        <v>8.0000000000000002E-3</v>
      </c>
      <c r="I15" s="137">
        <v>0</v>
      </c>
      <c r="J15" s="137">
        <v>0</v>
      </c>
      <c r="K15" s="137">
        <v>0.15</v>
      </c>
      <c r="L15" s="137">
        <v>0.15</v>
      </c>
      <c r="M15" s="137">
        <v>0.15</v>
      </c>
    </row>
    <row r="16" spans="1:13" x14ac:dyDescent="0.25">
      <c r="A16" s="136">
        <v>3002176022</v>
      </c>
      <c r="B16" s="136">
        <v>6475</v>
      </c>
      <c r="C16" s="136">
        <v>3762</v>
      </c>
      <c r="D16" s="138">
        <v>0.57999999999999996</v>
      </c>
      <c r="E16" s="136">
        <v>8587</v>
      </c>
      <c r="F16" s="137">
        <v>1E-4</v>
      </c>
      <c r="G16" s="137">
        <v>0</v>
      </c>
      <c r="H16" s="137">
        <v>8.0000000000000002E-3</v>
      </c>
      <c r="I16" s="137">
        <v>0</v>
      </c>
      <c r="J16" s="137">
        <v>0</v>
      </c>
      <c r="K16" s="137">
        <v>0</v>
      </c>
      <c r="L16" s="137">
        <v>0</v>
      </c>
      <c r="M16" s="137">
        <v>0</v>
      </c>
    </row>
    <row r="17" spans="1:13" x14ac:dyDescent="0.25">
      <c r="A17" s="136">
        <v>3006700739</v>
      </c>
      <c r="B17" s="136">
        <v>4243</v>
      </c>
      <c r="C17" s="136">
        <v>3528</v>
      </c>
      <c r="D17" s="138">
        <v>0.83</v>
      </c>
      <c r="E17" s="136">
        <v>2163</v>
      </c>
      <c r="F17" s="137">
        <v>1E-4</v>
      </c>
      <c r="G17" s="137">
        <v>0</v>
      </c>
      <c r="H17" s="137">
        <v>7.4999999999999997E-3</v>
      </c>
      <c r="I17" s="137">
        <v>0</v>
      </c>
      <c r="J17" s="137">
        <v>0</v>
      </c>
      <c r="K17" s="137">
        <v>0</v>
      </c>
      <c r="L17" s="137">
        <v>0</v>
      </c>
      <c r="M17" s="137">
        <v>0</v>
      </c>
    </row>
    <row r="18" spans="1:13" x14ac:dyDescent="0.25">
      <c r="A18" s="136">
        <v>3004256972</v>
      </c>
      <c r="B18" s="136">
        <v>9946</v>
      </c>
      <c r="C18" s="136">
        <v>3293</v>
      </c>
      <c r="D18" s="138">
        <v>0.33</v>
      </c>
      <c r="E18" s="136">
        <v>3275</v>
      </c>
      <c r="F18" s="137">
        <v>1E-4</v>
      </c>
      <c r="G18" s="137">
        <v>0</v>
      </c>
      <c r="H18" s="137">
        <v>7.0000000000000001E-3</v>
      </c>
      <c r="I18" s="137">
        <v>0</v>
      </c>
      <c r="J18" s="137">
        <v>0</v>
      </c>
      <c r="K18" s="137">
        <v>0</v>
      </c>
      <c r="L18" s="137">
        <v>0</v>
      </c>
      <c r="M18" s="137">
        <v>0</v>
      </c>
    </row>
    <row r="19" spans="1:13" x14ac:dyDescent="0.25">
      <c r="A19" s="136">
        <v>3003562994</v>
      </c>
      <c r="B19" s="136">
        <v>3344</v>
      </c>
      <c r="C19" s="136">
        <v>3058</v>
      </c>
      <c r="D19" s="138">
        <v>0.91</v>
      </c>
      <c r="E19" s="136">
        <v>4862</v>
      </c>
      <c r="F19" s="137">
        <v>1E-4</v>
      </c>
      <c r="G19" s="137">
        <v>0</v>
      </c>
      <c r="H19" s="137">
        <v>6.4999999999999997E-3</v>
      </c>
      <c r="I19" s="137">
        <v>0</v>
      </c>
      <c r="J19" s="137">
        <v>0</v>
      </c>
      <c r="K19" s="137">
        <v>0</v>
      </c>
      <c r="L19" s="137">
        <v>0</v>
      </c>
      <c r="M19" s="137">
        <v>0</v>
      </c>
    </row>
    <row r="20" spans="1:13" x14ac:dyDescent="0.25">
      <c r="A20" s="136">
        <v>3005437596</v>
      </c>
      <c r="B20" s="136">
        <v>1853</v>
      </c>
      <c r="C20" s="136">
        <v>2353</v>
      </c>
      <c r="D20" s="138">
        <v>1.27</v>
      </c>
      <c r="E20" s="136">
        <v>2510</v>
      </c>
      <c r="F20" s="137">
        <v>1E-4</v>
      </c>
      <c r="G20" s="137">
        <v>0</v>
      </c>
      <c r="H20" s="137">
        <v>5.0000000000000001E-3</v>
      </c>
      <c r="I20" s="137">
        <v>0</v>
      </c>
      <c r="J20" s="137">
        <v>0</v>
      </c>
      <c r="L20" s="137">
        <v>0</v>
      </c>
      <c r="M20" s="137">
        <v>0</v>
      </c>
    </row>
    <row r="21" spans="1:13" x14ac:dyDescent="0.25">
      <c r="A21" s="136">
        <v>3000184598</v>
      </c>
      <c r="B21" s="136">
        <v>2861</v>
      </c>
      <c r="C21" s="136">
        <v>2118</v>
      </c>
      <c r="D21" s="138">
        <v>0.74</v>
      </c>
      <c r="E21" s="136">
        <v>1996</v>
      </c>
      <c r="F21" s="137">
        <v>1E-4</v>
      </c>
      <c r="G21" s="137">
        <v>0</v>
      </c>
      <c r="H21" s="137">
        <v>4.4999999999999997E-3</v>
      </c>
      <c r="I21" s="137">
        <v>0</v>
      </c>
      <c r="J21" s="137">
        <v>0</v>
      </c>
      <c r="K21" s="137">
        <v>0.1</v>
      </c>
      <c r="L21" s="137">
        <v>0.1</v>
      </c>
      <c r="M21" s="137">
        <v>0.1</v>
      </c>
    </row>
    <row r="22" spans="1:13" x14ac:dyDescent="0.25">
      <c r="A22" s="136">
        <v>3001450247</v>
      </c>
      <c r="B22" s="136">
        <v>2996</v>
      </c>
      <c r="C22" s="136">
        <v>1884</v>
      </c>
      <c r="D22" s="138">
        <v>0.63</v>
      </c>
      <c r="E22" s="136">
        <v>604</v>
      </c>
      <c r="F22" s="137">
        <v>1E-4</v>
      </c>
      <c r="G22" s="137">
        <v>0</v>
      </c>
      <c r="H22" s="137">
        <v>4.0000000000000001E-3</v>
      </c>
      <c r="I22" s="137">
        <v>0</v>
      </c>
      <c r="J22" s="137">
        <v>0</v>
      </c>
      <c r="K22" s="137">
        <v>0</v>
      </c>
      <c r="L22" s="137">
        <v>0</v>
      </c>
      <c r="M22" s="137">
        <v>0</v>
      </c>
    </row>
    <row r="23" spans="1:13" x14ac:dyDescent="0.25">
      <c r="A23" s="136">
        <v>3002906805</v>
      </c>
      <c r="B23" s="136">
        <v>2707</v>
      </c>
      <c r="C23" s="136">
        <v>1884</v>
      </c>
      <c r="D23" s="138">
        <v>0.7</v>
      </c>
      <c r="E23" s="136">
        <v>3932</v>
      </c>
      <c r="F23" s="137">
        <v>1E-4</v>
      </c>
      <c r="G23" s="137">
        <v>0</v>
      </c>
      <c r="H23" s="137">
        <v>4.0000000000000001E-3</v>
      </c>
      <c r="I23" s="137">
        <v>0</v>
      </c>
      <c r="J23" s="137">
        <v>0</v>
      </c>
      <c r="K23" s="137">
        <v>0</v>
      </c>
      <c r="L23" s="137">
        <v>0</v>
      </c>
      <c r="M23" s="137">
        <v>0</v>
      </c>
    </row>
    <row r="24" spans="1:13" x14ac:dyDescent="0.25">
      <c r="A24" s="136">
        <v>3002906806</v>
      </c>
      <c r="B24" s="136">
        <v>2262</v>
      </c>
      <c r="C24" s="136">
        <v>4777</v>
      </c>
      <c r="D24" s="138">
        <v>2.11</v>
      </c>
      <c r="E24" s="136">
        <v>4764</v>
      </c>
      <c r="F24" s="137">
        <v>1E-4</v>
      </c>
      <c r="G24" s="137">
        <v>0.1</v>
      </c>
      <c r="H24" s="137">
        <v>3.0000000000000001E-3</v>
      </c>
      <c r="I24" s="137">
        <v>0</v>
      </c>
      <c r="J24" s="137">
        <v>0</v>
      </c>
      <c r="K24" s="137">
        <v>0</v>
      </c>
      <c r="L24" s="137">
        <v>0</v>
      </c>
      <c r="M24" s="137">
        <v>0</v>
      </c>
    </row>
    <row r="25" spans="1:13" x14ac:dyDescent="0.25">
      <c r="A25" s="136">
        <v>3007206715</v>
      </c>
      <c r="B25" s="136">
        <v>1437</v>
      </c>
      <c r="C25" s="136">
        <v>2377</v>
      </c>
      <c r="D25" s="138">
        <v>1.65</v>
      </c>
      <c r="E25" s="136">
        <v>4401</v>
      </c>
      <c r="F25" s="137">
        <v>2.5000000000000001E-2</v>
      </c>
      <c r="G25" s="137">
        <v>0</v>
      </c>
      <c r="H25" s="137">
        <v>2.5000000000000001E-3</v>
      </c>
      <c r="I25" s="137">
        <v>0</v>
      </c>
      <c r="J25" s="137">
        <v>0</v>
      </c>
      <c r="K25" s="137">
        <v>0</v>
      </c>
      <c r="L25" s="137">
        <v>0</v>
      </c>
      <c r="M25" s="137">
        <v>0</v>
      </c>
    </row>
    <row r="26" spans="1:13" x14ac:dyDescent="0.25">
      <c r="A26" s="136">
        <v>3003413089</v>
      </c>
      <c r="B26" s="136">
        <v>4533</v>
      </c>
      <c r="C26" s="136">
        <v>944</v>
      </c>
      <c r="D26" s="138">
        <v>0.21</v>
      </c>
      <c r="E26" s="136">
        <v>11041</v>
      </c>
      <c r="F26" s="137">
        <v>1E-4</v>
      </c>
      <c r="G26" s="137">
        <v>0</v>
      </c>
      <c r="H26" s="137">
        <v>2E-3</v>
      </c>
      <c r="I26" s="137">
        <v>0</v>
      </c>
      <c r="J26" s="137">
        <v>0</v>
      </c>
      <c r="K26" s="137">
        <v>0.3</v>
      </c>
      <c r="L26" s="137">
        <v>0.3</v>
      </c>
      <c r="M26" s="137">
        <v>0.3</v>
      </c>
    </row>
    <row r="27" spans="1:13" x14ac:dyDescent="0.25">
      <c r="A27" s="136">
        <v>3004244761</v>
      </c>
      <c r="B27" s="136">
        <v>1060</v>
      </c>
      <c r="C27" s="136">
        <v>944</v>
      </c>
      <c r="D27" s="138">
        <v>0.89</v>
      </c>
      <c r="E27" s="136">
        <v>1348</v>
      </c>
      <c r="F27" s="137">
        <v>1E-4</v>
      </c>
      <c r="G27" s="137">
        <v>0</v>
      </c>
      <c r="H27" s="137">
        <v>2E-3</v>
      </c>
      <c r="I27" s="137">
        <v>0</v>
      </c>
      <c r="J27" s="137">
        <v>0</v>
      </c>
      <c r="K27" s="137">
        <v>0</v>
      </c>
      <c r="L27" s="137">
        <v>0</v>
      </c>
      <c r="M27" s="137">
        <v>0</v>
      </c>
    </row>
    <row r="28" spans="1:13" x14ac:dyDescent="0.25">
      <c r="A28" s="136">
        <v>3000097252</v>
      </c>
      <c r="B28" s="136">
        <v>249</v>
      </c>
      <c r="C28" s="136">
        <v>48</v>
      </c>
      <c r="D28" s="138">
        <v>0.19</v>
      </c>
      <c r="E28" s="136">
        <v>332</v>
      </c>
      <c r="F28" s="137">
        <v>1E-3</v>
      </c>
      <c r="G28" s="137">
        <v>0</v>
      </c>
      <c r="H28" s="137">
        <v>0</v>
      </c>
      <c r="I28" s="137">
        <v>0</v>
      </c>
      <c r="J28" s="137">
        <v>0</v>
      </c>
      <c r="K28" s="137">
        <v>0.05</v>
      </c>
      <c r="L28" s="137">
        <v>0.05</v>
      </c>
      <c r="M28" s="137">
        <v>0.05</v>
      </c>
    </row>
    <row r="29" spans="1:13" x14ac:dyDescent="0.25">
      <c r="A29" s="136">
        <v>3000098654</v>
      </c>
      <c r="B29" s="136">
        <v>206</v>
      </c>
      <c r="C29" s="136">
        <v>120</v>
      </c>
      <c r="D29" s="138">
        <v>0.59</v>
      </c>
      <c r="E29" s="136">
        <v>0</v>
      </c>
      <c r="F29" s="137">
        <v>2.5000000000000001E-3</v>
      </c>
      <c r="G29" s="137">
        <v>0</v>
      </c>
      <c r="H29" s="137">
        <v>0</v>
      </c>
      <c r="I29" s="137">
        <v>0</v>
      </c>
      <c r="J29" s="137">
        <v>0</v>
      </c>
      <c r="L29" s="137">
        <v>0</v>
      </c>
      <c r="M29" s="137">
        <v>0</v>
      </c>
    </row>
    <row r="30" spans="1:13" x14ac:dyDescent="0.25">
      <c r="A30" s="136">
        <v>3000098875</v>
      </c>
      <c r="B30" s="136">
        <v>153</v>
      </c>
      <c r="C30" s="136">
        <v>120</v>
      </c>
      <c r="D30" s="138">
        <v>0.79</v>
      </c>
      <c r="E30" s="136">
        <v>33</v>
      </c>
      <c r="F30" s="137">
        <v>2.5000000000000001E-3</v>
      </c>
      <c r="G30" s="137">
        <v>0</v>
      </c>
      <c r="H30" s="137">
        <v>0</v>
      </c>
      <c r="I30" s="137">
        <v>0</v>
      </c>
      <c r="J30" s="137">
        <v>0</v>
      </c>
      <c r="K30" s="137">
        <v>0</v>
      </c>
      <c r="L30" s="137">
        <v>0</v>
      </c>
      <c r="M30" s="137">
        <v>0</v>
      </c>
    </row>
    <row r="31" spans="1:13" x14ac:dyDescent="0.25">
      <c r="A31" s="136">
        <v>3000099014</v>
      </c>
      <c r="B31" s="136">
        <v>244</v>
      </c>
      <c r="C31" s="136">
        <v>144</v>
      </c>
      <c r="D31" s="138">
        <v>0.59</v>
      </c>
      <c r="E31" s="136">
        <v>567</v>
      </c>
      <c r="F31" s="137">
        <v>3.0000000000000001E-3</v>
      </c>
      <c r="G31" s="137">
        <v>0</v>
      </c>
      <c r="H31" s="137">
        <v>0</v>
      </c>
      <c r="I31" s="137">
        <v>0</v>
      </c>
      <c r="J31" s="137">
        <v>0</v>
      </c>
      <c r="K31" s="137">
        <v>0.05</v>
      </c>
      <c r="L31" s="137">
        <v>0.05</v>
      </c>
      <c r="M31" s="137">
        <v>0.05</v>
      </c>
    </row>
    <row r="32" spans="1:13" x14ac:dyDescent="0.25">
      <c r="A32" s="136">
        <v>3000236451</v>
      </c>
      <c r="B32" s="136">
        <v>319</v>
      </c>
      <c r="C32" s="136">
        <v>168</v>
      </c>
      <c r="D32" s="138">
        <v>0.53</v>
      </c>
      <c r="E32" s="136">
        <v>0</v>
      </c>
      <c r="F32" s="137">
        <v>3.5000000000000001E-3</v>
      </c>
      <c r="G32" s="137">
        <v>0</v>
      </c>
      <c r="H32" s="137">
        <v>0</v>
      </c>
      <c r="I32" s="137">
        <v>0</v>
      </c>
      <c r="J32" s="137">
        <v>0</v>
      </c>
      <c r="L32" s="137">
        <v>0</v>
      </c>
      <c r="M32" s="137">
        <v>0</v>
      </c>
    </row>
    <row r="33" spans="1:13" x14ac:dyDescent="0.25">
      <c r="A33" s="136">
        <v>3000271296</v>
      </c>
      <c r="B33" s="136">
        <v>335</v>
      </c>
      <c r="C33" s="136">
        <v>192</v>
      </c>
      <c r="D33" s="138">
        <v>0.56999999999999995</v>
      </c>
      <c r="E33" s="136">
        <v>0</v>
      </c>
      <c r="F33" s="137">
        <v>4.0000000000000001E-3</v>
      </c>
      <c r="G33" s="137">
        <v>0</v>
      </c>
      <c r="H33" s="137">
        <v>0</v>
      </c>
      <c r="I33" s="137">
        <v>0</v>
      </c>
      <c r="J33" s="137">
        <v>0</v>
      </c>
      <c r="K33" s="137">
        <v>0</v>
      </c>
      <c r="L33" s="137">
        <v>0</v>
      </c>
      <c r="M33" s="137">
        <v>0</v>
      </c>
    </row>
    <row r="34" spans="1:13" x14ac:dyDescent="0.25">
      <c r="A34" s="136">
        <v>3000271622</v>
      </c>
      <c r="B34" s="136">
        <v>255</v>
      </c>
      <c r="C34" s="136">
        <v>217</v>
      </c>
      <c r="D34" s="138">
        <v>0.85</v>
      </c>
      <c r="E34" s="136">
        <v>19</v>
      </c>
      <c r="F34" s="137">
        <v>4.4999999999999997E-3</v>
      </c>
      <c r="G34" s="137">
        <v>0</v>
      </c>
      <c r="H34" s="137">
        <v>0</v>
      </c>
      <c r="I34" s="137">
        <v>0</v>
      </c>
      <c r="J34" s="137">
        <v>0</v>
      </c>
      <c r="K34" s="137">
        <v>0</v>
      </c>
      <c r="L34" s="137">
        <v>0</v>
      </c>
      <c r="M34" s="137">
        <v>0</v>
      </c>
    </row>
    <row r="35" spans="1:13" x14ac:dyDescent="0.25">
      <c r="A35" s="136">
        <v>3000553251</v>
      </c>
      <c r="B35" s="136">
        <v>382</v>
      </c>
      <c r="C35" s="136">
        <v>289</v>
      </c>
      <c r="D35" s="138">
        <v>0.76</v>
      </c>
      <c r="E35" s="136">
        <v>0</v>
      </c>
      <c r="F35" s="137">
        <v>6.0000000000000001E-3</v>
      </c>
      <c r="G35" s="137">
        <v>0</v>
      </c>
      <c r="H35" s="137">
        <v>0</v>
      </c>
      <c r="I35" s="137">
        <v>0</v>
      </c>
      <c r="J35" s="137">
        <v>0</v>
      </c>
      <c r="L35" s="137">
        <v>0</v>
      </c>
      <c r="M35" s="137">
        <v>0</v>
      </c>
    </row>
    <row r="36" spans="1:13" x14ac:dyDescent="0.25">
      <c r="A36" s="136">
        <v>3000881551</v>
      </c>
      <c r="B36" s="136">
        <v>1514</v>
      </c>
      <c r="C36" s="136">
        <v>962</v>
      </c>
      <c r="D36" s="138">
        <v>0.64</v>
      </c>
      <c r="E36" s="136">
        <v>0</v>
      </c>
      <c r="F36" s="137">
        <v>0.02</v>
      </c>
      <c r="G36" s="137">
        <v>0</v>
      </c>
      <c r="H36" s="137">
        <v>0</v>
      </c>
      <c r="I36" s="137">
        <v>0</v>
      </c>
      <c r="J36" s="137">
        <v>0</v>
      </c>
      <c r="K36" s="137">
        <v>0</v>
      </c>
      <c r="L36" s="137">
        <v>0</v>
      </c>
      <c r="M36" s="137">
        <v>0</v>
      </c>
    </row>
    <row r="37" spans="1:13" x14ac:dyDescent="0.25">
      <c r="A37" s="136">
        <v>3000886634</v>
      </c>
      <c r="B37" s="136">
        <v>2638</v>
      </c>
      <c r="C37" s="136">
        <v>2069</v>
      </c>
      <c r="D37" s="138">
        <v>0.78</v>
      </c>
      <c r="E37" s="136">
        <v>0</v>
      </c>
      <c r="F37" s="137">
        <v>4.2999999999999997E-2</v>
      </c>
      <c r="G37" s="137">
        <v>0</v>
      </c>
      <c r="H37" s="137">
        <v>0</v>
      </c>
      <c r="I37" s="137">
        <v>0</v>
      </c>
      <c r="J37" s="137">
        <v>0</v>
      </c>
      <c r="K37" s="137">
        <v>0</v>
      </c>
      <c r="L37" s="137">
        <v>0</v>
      </c>
      <c r="M37" s="137">
        <v>0</v>
      </c>
    </row>
    <row r="38" spans="1:13" x14ac:dyDescent="0.25">
      <c r="A38" s="136">
        <v>3000914060</v>
      </c>
      <c r="B38" s="136">
        <v>434</v>
      </c>
      <c r="C38" s="136">
        <v>48</v>
      </c>
      <c r="D38" s="138">
        <v>0.11</v>
      </c>
      <c r="E38" s="136">
        <v>0</v>
      </c>
      <c r="F38" s="137">
        <v>1E-3</v>
      </c>
      <c r="G38" s="137">
        <v>0</v>
      </c>
      <c r="H38" s="137">
        <v>0</v>
      </c>
      <c r="I38" s="137">
        <v>0</v>
      </c>
      <c r="J38" s="137">
        <v>0</v>
      </c>
      <c r="K38" s="137">
        <v>0</v>
      </c>
      <c r="L38" s="137">
        <v>0</v>
      </c>
      <c r="M38" s="137">
        <v>0</v>
      </c>
    </row>
    <row r="39" spans="1:13" x14ac:dyDescent="0.25">
      <c r="A39" s="136">
        <v>3000914420</v>
      </c>
      <c r="B39" s="136">
        <v>181</v>
      </c>
      <c r="C39" s="136">
        <v>337</v>
      </c>
      <c r="D39" s="138">
        <v>1.86</v>
      </c>
      <c r="E39" s="136">
        <v>1310</v>
      </c>
      <c r="F39" s="137">
        <v>7.0000000000000001E-3</v>
      </c>
      <c r="G39" s="137">
        <v>0</v>
      </c>
      <c r="H39" s="137">
        <v>0</v>
      </c>
      <c r="I39" s="137">
        <v>0</v>
      </c>
      <c r="J39" s="137">
        <v>0</v>
      </c>
      <c r="K39" s="137">
        <v>0</v>
      </c>
      <c r="L39" s="137">
        <v>0</v>
      </c>
      <c r="M39" s="137">
        <v>0</v>
      </c>
    </row>
    <row r="40" spans="1:13" x14ac:dyDescent="0.25">
      <c r="A40" s="136">
        <v>3001088467</v>
      </c>
      <c r="B40" s="136">
        <v>606</v>
      </c>
      <c r="C40" s="136">
        <v>481</v>
      </c>
      <c r="D40" s="138">
        <v>0.79</v>
      </c>
      <c r="E40" s="136">
        <v>54</v>
      </c>
      <c r="F40" s="137">
        <v>0.01</v>
      </c>
      <c r="G40" s="137">
        <v>0</v>
      </c>
      <c r="H40" s="137">
        <v>0</v>
      </c>
      <c r="I40" s="137">
        <v>0</v>
      </c>
      <c r="J40" s="137">
        <v>0</v>
      </c>
      <c r="L40" s="137">
        <v>0</v>
      </c>
      <c r="M40" s="137">
        <v>0</v>
      </c>
    </row>
    <row r="41" spans="1:13" x14ac:dyDescent="0.25">
      <c r="A41" s="136">
        <v>3001088468</v>
      </c>
      <c r="B41" s="136">
        <v>947</v>
      </c>
      <c r="C41" s="136">
        <v>626</v>
      </c>
      <c r="D41" s="138">
        <v>0.66</v>
      </c>
      <c r="E41" s="136">
        <v>0</v>
      </c>
      <c r="F41" s="137">
        <v>1.2999999999999999E-2</v>
      </c>
      <c r="G41" s="137">
        <v>0</v>
      </c>
      <c r="H41" s="137">
        <v>0</v>
      </c>
      <c r="I41" s="137">
        <v>0</v>
      </c>
      <c r="J41" s="137">
        <v>0</v>
      </c>
      <c r="L41" s="137">
        <v>0</v>
      </c>
      <c r="M41" s="137">
        <v>0</v>
      </c>
    </row>
    <row r="42" spans="1:13" x14ac:dyDescent="0.25">
      <c r="A42" s="136">
        <v>3001268572</v>
      </c>
      <c r="B42" s="136">
        <v>3097</v>
      </c>
      <c r="C42" s="136">
        <v>5047</v>
      </c>
      <c r="D42" s="138">
        <v>1.63</v>
      </c>
      <c r="E42" s="136">
        <v>0</v>
      </c>
      <c r="F42" s="137">
        <v>3.5000000000000003E-2</v>
      </c>
      <c r="G42" s="137">
        <v>0.1</v>
      </c>
      <c r="H42" s="137">
        <v>0</v>
      </c>
      <c r="I42" s="137">
        <v>0</v>
      </c>
      <c r="J42" s="137">
        <v>0</v>
      </c>
      <c r="K42" s="137">
        <v>0</v>
      </c>
      <c r="L42" s="137">
        <v>0</v>
      </c>
      <c r="M42" s="137">
        <v>0</v>
      </c>
    </row>
    <row r="43" spans="1:13" x14ac:dyDescent="0.25">
      <c r="A43" s="136">
        <v>3001346174</v>
      </c>
      <c r="B43" s="136">
        <v>298</v>
      </c>
      <c r="C43" s="136">
        <v>289</v>
      </c>
      <c r="D43" s="138">
        <v>0.97</v>
      </c>
      <c r="E43" s="136">
        <v>159</v>
      </c>
      <c r="F43" s="137">
        <v>6.0000000000000001E-3</v>
      </c>
      <c r="G43" s="137">
        <v>0</v>
      </c>
      <c r="H43" s="137">
        <v>0</v>
      </c>
      <c r="I43" s="137">
        <v>0</v>
      </c>
      <c r="J43" s="137">
        <v>0</v>
      </c>
      <c r="K43" s="137">
        <v>0</v>
      </c>
      <c r="L43" s="137">
        <v>0</v>
      </c>
      <c r="M43" s="137">
        <v>0</v>
      </c>
    </row>
    <row r="44" spans="1:13" x14ac:dyDescent="0.25">
      <c r="A44" s="136">
        <v>3001348433</v>
      </c>
      <c r="B44" s="136">
        <v>1068</v>
      </c>
      <c r="C44" s="136">
        <v>674</v>
      </c>
      <c r="D44" s="138">
        <v>0.63</v>
      </c>
      <c r="E44" s="136">
        <v>0</v>
      </c>
      <c r="F44" s="137">
        <v>1.4E-2</v>
      </c>
      <c r="G44" s="137">
        <v>0</v>
      </c>
      <c r="H44" s="137">
        <v>0</v>
      </c>
      <c r="I44" s="137">
        <v>0</v>
      </c>
      <c r="J44" s="137">
        <v>0</v>
      </c>
      <c r="K44" s="137">
        <v>0</v>
      </c>
      <c r="L44" s="137">
        <v>0</v>
      </c>
      <c r="M44" s="137">
        <v>0</v>
      </c>
    </row>
    <row r="45" spans="1:13" x14ac:dyDescent="0.25">
      <c r="A45" s="136">
        <v>3001449459</v>
      </c>
      <c r="B45" s="136">
        <v>1440</v>
      </c>
      <c r="C45" s="136">
        <v>3368</v>
      </c>
      <c r="D45" s="138">
        <v>2.34</v>
      </c>
      <c r="E45" s="136">
        <v>0</v>
      </c>
      <c r="F45" s="137">
        <v>1E-4</v>
      </c>
      <c r="G45" s="137">
        <v>0.1</v>
      </c>
      <c r="H45" s="137">
        <v>0</v>
      </c>
      <c r="I45" s="137">
        <v>0</v>
      </c>
      <c r="J45" s="137">
        <v>0</v>
      </c>
      <c r="K45" s="137">
        <v>0</v>
      </c>
      <c r="L45" s="137">
        <v>0</v>
      </c>
      <c r="M45" s="137">
        <v>0</v>
      </c>
    </row>
    <row r="46" spans="1:13" x14ac:dyDescent="0.25">
      <c r="A46" s="136">
        <v>3001450194</v>
      </c>
      <c r="B46" s="136">
        <v>542</v>
      </c>
      <c r="C46" s="136">
        <v>1730</v>
      </c>
      <c r="D46" s="138">
        <v>3.19</v>
      </c>
      <c r="E46" s="136">
        <v>386</v>
      </c>
      <c r="F46" s="137">
        <v>1E-3</v>
      </c>
      <c r="G46" s="137">
        <v>0.05</v>
      </c>
      <c r="H46" s="137">
        <v>0</v>
      </c>
      <c r="I46" s="137">
        <v>0</v>
      </c>
      <c r="J46" s="137">
        <v>0</v>
      </c>
      <c r="K46" s="137">
        <v>0</v>
      </c>
      <c r="L46" s="137">
        <v>0</v>
      </c>
      <c r="M46" s="137">
        <v>0</v>
      </c>
    </row>
    <row r="47" spans="1:13" x14ac:dyDescent="0.25">
      <c r="A47" s="136">
        <v>3001450202</v>
      </c>
      <c r="B47" s="136">
        <v>420</v>
      </c>
      <c r="C47" s="136">
        <v>5</v>
      </c>
      <c r="D47" s="138">
        <v>0.01</v>
      </c>
      <c r="E47" s="136">
        <v>771</v>
      </c>
      <c r="F47" s="137">
        <v>1E-4</v>
      </c>
      <c r="G47" s="137">
        <v>0</v>
      </c>
      <c r="H47" s="137">
        <v>0</v>
      </c>
      <c r="I47" s="137">
        <v>0.03</v>
      </c>
      <c r="J47" s="137">
        <v>0</v>
      </c>
      <c r="K47" s="137">
        <v>0</v>
      </c>
      <c r="L47" s="137">
        <v>0</v>
      </c>
      <c r="M47" s="137">
        <v>0</v>
      </c>
    </row>
    <row r="48" spans="1:13" x14ac:dyDescent="0.25">
      <c r="A48" s="136">
        <v>3001450251</v>
      </c>
      <c r="B48" s="136">
        <v>770</v>
      </c>
      <c r="C48" s="136">
        <v>2066</v>
      </c>
      <c r="D48" s="138">
        <v>2.68</v>
      </c>
      <c r="E48" s="136">
        <v>0</v>
      </c>
      <c r="F48" s="137">
        <v>8.0000000000000002E-3</v>
      </c>
      <c r="G48" s="137">
        <v>0.05</v>
      </c>
      <c r="H48" s="137">
        <v>0</v>
      </c>
      <c r="I48" s="137">
        <v>0</v>
      </c>
      <c r="J48" s="137">
        <v>0</v>
      </c>
      <c r="K48" s="137">
        <v>0</v>
      </c>
      <c r="L48" s="137">
        <v>0</v>
      </c>
      <c r="M48" s="137">
        <v>0</v>
      </c>
    </row>
    <row r="49" spans="1:13" x14ac:dyDescent="0.25">
      <c r="A49" s="136">
        <v>3001516753</v>
      </c>
      <c r="B49" s="136">
        <v>756</v>
      </c>
      <c r="C49" s="136">
        <v>529</v>
      </c>
      <c r="D49" s="138">
        <v>0.7</v>
      </c>
      <c r="E49" s="136">
        <v>0</v>
      </c>
      <c r="F49" s="137">
        <v>1.0999999999999999E-2</v>
      </c>
      <c r="G49" s="137">
        <v>0</v>
      </c>
      <c r="H49" s="137">
        <v>0</v>
      </c>
      <c r="I49" s="137">
        <v>0</v>
      </c>
      <c r="J49" s="137">
        <v>0</v>
      </c>
      <c r="L49" s="137">
        <v>0</v>
      </c>
      <c r="M49" s="137">
        <v>0</v>
      </c>
    </row>
    <row r="50" spans="1:13" x14ac:dyDescent="0.25">
      <c r="A50" s="136">
        <v>3001780367</v>
      </c>
      <c r="B50" s="136">
        <v>203</v>
      </c>
      <c r="C50" s="136">
        <v>5</v>
      </c>
      <c r="D50" s="138">
        <v>0.02</v>
      </c>
      <c r="E50" s="136">
        <v>1782</v>
      </c>
      <c r="F50" s="137">
        <v>1E-4</v>
      </c>
      <c r="G50" s="137">
        <v>0</v>
      </c>
      <c r="H50" s="137">
        <v>0</v>
      </c>
      <c r="I50" s="137">
        <v>0</v>
      </c>
      <c r="J50" s="137">
        <v>0</v>
      </c>
      <c r="K50" s="137">
        <v>0</v>
      </c>
      <c r="L50" s="137">
        <v>0</v>
      </c>
      <c r="M50" s="137">
        <v>0</v>
      </c>
    </row>
    <row r="51" spans="1:13" x14ac:dyDescent="0.25">
      <c r="A51" s="136">
        <v>3002248046</v>
      </c>
      <c r="B51" s="136">
        <v>390</v>
      </c>
      <c r="C51" s="136">
        <v>337</v>
      </c>
      <c r="D51" s="138">
        <v>0.86</v>
      </c>
      <c r="E51" s="136">
        <v>79</v>
      </c>
      <c r="F51" s="137">
        <v>7.0000000000000001E-3</v>
      </c>
      <c r="G51" s="137">
        <v>0</v>
      </c>
      <c r="H51" s="137">
        <v>0</v>
      </c>
      <c r="I51" s="137">
        <v>0</v>
      </c>
      <c r="J51" s="137">
        <v>0</v>
      </c>
      <c r="L51" s="137">
        <v>0</v>
      </c>
      <c r="M51" s="137">
        <v>0</v>
      </c>
    </row>
    <row r="52" spans="1:13" x14ac:dyDescent="0.25">
      <c r="A52" s="136">
        <v>3002421654</v>
      </c>
      <c r="B52" s="136">
        <v>1055</v>
      </c>
      <c r="C52" s="136">
        <v>722</v>
      </c>
      <c r="D52" s="138">
        <v>0.68</v>
      </c>
      <c r="E52" s="136">
        <v>2096</v>
      </c>
      <c r="F52" s="137">
        <v>1.4999999999999999E-2</v>
      </c>
      <c r="G52" s="137">
        <v>0</v>
      </c>
      <c r="H52" s="137">
        <v>0</v>
      </c>
      <c r="I52" s="137">
        <v>0</v>
      </c>
      <c r="J52" s="137">
        <v>0</v>
      </c>
      <c r="K52" s="137">
        <v>0.05</v>
      </c>
      <c r="L52" s="137">
        <v>0.05</v>
      </c>
      <c r="M52" s="137">
        <v>0.05</v>
      </c>
    </row>
    <row r="53" spans="1:13" x14ac:dyDescent="0.25">
      <c r="A53" s="136">
        <v>3002429190</v>
      </c>
      <c r="B53" s="136">
        <v>463</v>
      </c>
      <c r="C53" s="136">
        <v>385</v>
      </c>
      <c r="D53" s="138">
        <v>0.83</v>
      </c>
      <c r="E53" s="136">
        <v>145</v>
      </c>
      <c r="F53" s="137">
        <v>8.0000000000000002E-3</v>
      </c>
      <c r="G53" s="137">
        <v>0</v>
      </c>
      <c r="H53" s="137">
        <v>0</v>
      </c>
      <c r="I53" s="137">
        <v>0</v>
      </c>
      <c r="J53" s="137">
        <v>0</v>
      </c>
      <c r="K53" s="137">
        <v>0</v>
      </c>
      <c r="L53" s="137">
        <v>0</v>
      </c>
      <c r="M53" s="137">
        <v>0</v>
      </c>
    </row>
    <row r="54" spans="1:13" x14ac:dyDescent="0.25">
      <c r="A54" s="136">
        <v>3002504727</v>
      </c>
      <c r="B54" s="136">
        <v>128</v>
      </c>
      <c r="C54" s="136">
        <v>96</v>
      </c>
      <c r="D54" s="138">
        <v>0.75</v>
      </c>
      <c r="E54" s="136">
        <v>105</v>
      </c>
      <c r="F54" s="137">
        <v>2E-3</v>
      </c>
      <c r="G54" s="137">
        <v>0</v>
      </c>
      <c r="H54" s="137">
        <v>0</v>
      </c>
      <c r="I54" s="137">
        <v>0</v>
      </c>
      <c r="J54" s="137">
        <v>0</v>
      </c>
      <c r="K54" s="137">
        <v>0</v>
      </c>
      <c r="L54" s="137">
        <v>0</v>
      </c>
      <c r="M54" s="137">
        <v>0</v>
      </c>
    </row>
    <row r="55" spans="1:13" x14ac:dyDescent="0.25">
      <c r="A55" s="136">
        <v>3002619862</v>
      </c>
      <c r="B55" s="136">
        <v>882</v>
      </c>
      <c r="C55" s="136">
        <v>192</v>
      </c>
      <c r="D55" s="138">
        <v>0.22</v>
      </c>
      <c r="E55" s="136">
        <v>0</v>
      </c>
      <c r="F55" s="137">
        <v>4.0000000000000001E-3</v>
      </c>
      <c r="G55" s="137">
        <v>0</v>
      </c>
      <c r="H55" s="137">
        <v>0</v>
      </c>
      <c r="I55" s="137">
        <v>0</v>
      </c>
      <c r="J55" s="137">
        <v>0</v>
      </c>
      <c r="K55" s="137">
        <v>0</v>
      </c>
      <c r="L55" s="137">
        <v>0</v>
      </c>
      <c r="M55" s="137">
        <v>0</v>
      </c>
    </row>
    <row r="56" spans="1:13" x14ac:dyDescent="0.25">
      <c r="A56" s="136">
        <v>3002872985</v>
      </c>
      <c r="B56" s="136">
        <v>146</v>
      </c>
      <c r="C56" s="136">
        <v>96</v>
      </c>
      <c r="D56" s="138">
        <v>0.66</v>
      </c>
      <c r="E56" s="136">
        <v>15</v>
      </c>
      <c r="F56" s="137">
        <v>2E-3</v>
      </c>
      <c r="G56" s="137">
        <v>0</v>
      </c>
      <c r="H56" s="137">
        <v>0</v>
      </c>
      <c r="I56" s="137">
        <v>0</v>
      </c>
      <c r="J56" s="137">
        <v>0</v>
      </c>
      <c r="L56" s="137">
        <v>0</v>
      </c>
      <c r="M56" s="137">
        <v>0</v>
      </c>
    </row>
    <row r="57" spans="1:13" x14ac:dyDescent="0.25">
      <c r="A57" s="136">
        <v>3002877896</v>
      </c>
      <c r="B57" s="136">
        <v>1264</v>
      </c>
      <c r="C57" s="136">
        <v>5</v>
      </c>
      <c r="D57" s="138">
        <v>0</v>
      </c>
      <c r="E57" s="136">
        <v>1593</v>
      </c>
      <c r="F57" s="137">
        <v>1E-4</v>
      </c>
      <c r="G57" s="137">
        <v>0</v>
      </c>
      <c r="H57" s="137">
        <v>0</v>
      </c>
      <c r="I57" s="137">
        <v>0.1</v>
      </c>
      <c r="J57" s="137">
        <v>0</v>
      </c>
      <c r="L57" s="137">
        <v>0</v>
      </c>
      <c r="M57" s="137">
        <v>0</v>
      </c>
    </row>
    <row r="58" spans="1:13" x14ac:dyDescent="0.25">
      <c r="A58" s="136">
        <v>3002906325</v>
      </c>
      <c r="B58" s="136">
        <v>388</v>
      </c>
      <c r="C58" s="136">
        <v>192</v>
      </c>
      <c r="D58" s="138">
        <v>0.5</v>
      </c>
      <c r="E58" s="136">
        <v>0</v>
      </c>
      <c r="F58" s="137">
        <v>4.0000000000000001E-3</v>
      </c>
      <c r="G58" s="137">
        <v>0</v>
      </c>
      <c r="H58" s="137">
        <v>0</v>
      </c>
      <c r="I58" s="137">
        <v>0</v>
      </c>
      <c r="J58" s="137">
        <v>0</v>
      </c>
      <c r="K58" s="137">
        <v>0</v>
      </c>
      <c r="L58" s="137">
        <v>0</v>
      </c>
      <c r="M58" s="137">
        <v>0</v>
      </c>
    </row>
    <row r="59" spans="1:13" x14ac:dyDescent="0.25">
      <c r="A59" s="136">
        <v>3002906629</v>
      </c>
      <c r="B59" s="136">
        <v>423</v>
      </c>
      <c r="C59" s="136">
        <v>385</v>
      </c>
      <c r="D59" s="138">
        <v>0.91</v>
      </c>
      <c r="E59" s="136">
        <v>169</v>
      </c>
      <c r="F59" s="137">
        <v>8.0000000000000002E-3</v>
      </c>
      <c r="G59" s="137">
        <v>0</v>
      </c>
      <c r="H59" s="137">
        <v>0</v>
      </c>
      <c r="I59" s="137">
        <v>0</v>
      </c>
      <c r="J59" s="137">
        <v>0</v>
      </c>
      <c r="L59" s="137">
        <v>0</v>
      </c>
      <c r="M59" s="137">
        <v>0</v>
      </c>
    </row>
    <row r="60" spans="1:13" x14ac:dyDescent="0.25">
      <c r="A60" s="136">
        <v>3003060564</v>
      </c>
      <c r="B60" s="136">
        <v>4047</v>
      </c>
      <c r="C60" s="136">
        <v>6155</v>
      </c>
      <c r="D60" s="138">
        <v>1.52</v>
      </c>
      <c r="E60" s="136">
        <v>7212</v>
      </c>
      <c r="F60" s="137">
        <v>1E-4</v>
      </c>
      <c r="G60" s="137">
        <v>0</v>
      </c>
      <c r="H60" s="137">
        <v>0</v>
      </c>
      <c r="I60" s="137">
        <v>0</v>
      </c>
      <c r="J60" s="137">
        <v>0.5</v>
      </c>
      <c r="L60" s="137">
        <v>0</v>
      </c>
      <c r="M60" s="137">
        <v>0</v>
      </c>
    </row>
    <row r="61" spans="1:13" x14ac:dyDescent="0.25">
      <c r="A61" s="136">
        <v>3003167054</v>
      </c>
      <c r="B61" s="136">
        <v>194</v>
      </c>
      <c r="C61" s="136">
        <v>5</v>
      </c>
      <c r="D61" s="138">
        <v>0.02</v>
      </c>
      <c r="E61" s="136">
        <v>322</v>
      </c>
      <c r="F61" s="137">
        <v>1E-4</v>
      </c>
      <c r="G61" s="137">
        <v>0</v>
      </c>
      <c r="H61" s="137">
        <v>0</v>
      </c>
      <c r="I61" s="137">
        <v>2.1999999999999999E-2</v>
      </c>
      <c r="J61" s="137">
        <v>0</v>
      </c>
      <c r="K61" s="137">
        <v>0</v>
      </c>
      <c r="L61" s="137">
        <v>0</v>
      </c>
      <c r="M61" s="137">
        <v>0</v>
      </c>
    </row>
    <row r="62" spans="1:13" x14ac:dyDescent="0.25">
      <c r="A62" s="136">
        <v>3003168714</v>
      </c>
      <c r="B62" s="136">
        <v>10027</v>
      </c>
      <c r="C62" s="136">
        <v>5</v>
      </c>
      <c r="D62" s="138">
        <v>0</v>
      </c>
      <c r="E62" s="136">
        <v>0</v>
      </c>
      <c r="F62" s="137">
        <v>1E-4</v>
      </c>
      <c r="G62" s="137">
        <v>0</v>
      </c>
      <c r="H62" s="137">
        <v>0</v>
      </c>
      <c r="I62" s="137">
        <v>0</v>
      </c>
      <c r="J62" s="137">
        <v>0</v>
      </c>
      <c r="K62" s="137">
        <v>0</v>
      </c>
      <c r="L62" s="137">
        <v>0</v>
      </c>
      <c r="M62" s="137">
        <v>0</v>
      </c>
    </row>
    <row r="63" spans="1:13" x14ac:dyDescent="0.25">
      <c r="A63" s="136">
        <v>3003171964</v>
      </c>
      <c r="B63" s="136">
        <v>173</v>
      </c>
      <c r="C63" s="136">
        <v>144</v>
      </c>
      <c r="D63" s="138">
        <v>0.83</v>
      </c>
      <c r="E63" s="136">
        <v>106</v>
      </c>
      <c r="F63" s="137">
        <v>3.0000000000000001E-3</v>
      </c>
      <c r="G63" s="137">
        <v>0</v>
      </c>
      <c r="H63" s="137">
        <v>0</v>
      </c>
      <c r="I63" s="137">
        <v>0</v>
      </c>
      <c r="J63" s="137">
        <v>0</v>
      </c>
      <c r="K63" s="137">
        <v>0</v>
      </c>
      <c r="L63" s="137">
        <v>0</v>
      </c>
      <c r="M63" s="137">
        <v>0</v>
      </c>
    </row>
    <row r="64" spans="1:13" x14ac:dyDescent="0.25">
      <c r="A64" s="136">
        <v>3003198807</v>
      </c>
      <c r="B64" s="136">
        <v>1428</v>
      </c>
      <c r="C64" s="136">
        <v>0</v>
      </c>
      <c r="D64" s="138">
        <v>0</v>
      </c>
      <c r="E64" s="136">
        <v>0</v>
      </c>
      <c r="F64" s="137">
        <v>0</v>
      </c>
      <c r="G64" s="137">
        <v>0</v>
      </c>
      <c r="H64" s="137">
        <v>0</v>
      </c>
      <c r="I64" s="137">
        <v>0</v>
      </c>
      <c r="J64" s="137">
        <v>0</v>
      </c>
      <c r="K64" s="137">
        <v>0</v>
      </c>
      <c r="L64" s="137">
        <v>0</v>
      </c>
      <c r="M64" s="137">
        <v>0</v>
      </c>
    </row>
    <row r="65" spans="1:13" x14ac:dyDescent="0.25">
      <c r="A65" s="136">
        <v>3003245697</v>
      </c>
      <c r="B65" s="136">
        <v>1614</v>
      </c>
      <c r="C65" s="136">
        <v>1107</v>
      </c>
      <c r="D65" s="138">
        <v>0.69</v>
      </c>
      <c r="E65" s="136">
        <v>10</v>
      </c>
      <c r="F65" s="137">
        <v>2.3E-2</v>
      </c>
      <c r="G65" s="137">
        <v>0</v>
      </c>
      <c r="H65" s="137">
        <v>0</v>
      </c>
      <c r="I65" s="137">
        <v>0</v>
      </c>
      <c r="J65" s="137">
        <v>0</v>
      </c>
      <c r="K65" s="137">
        <v>0</v>
      </c>
      <c r="L65" s="137">
        <v>0</v>
      </c>
      <c r="M65" s="137">
        <v>0</v>
      </c>
    </row>
    <row r="66" spans="1:13" x14ac:dyDescent="0.25">
      <c r="A66" s="136">
        <v>3003401215</v>
      </c>
      <c r="B66" s="136">
        <v>260</v>
      </c>
      <c r="C66" s="136">
        <v>192</v>
      </c>
      <c r="D66" s="138">
        <v>0.74</v>
      </c>
      <c r="E66" s="136">
        <v>44</v>
      </c>
      <c r="F66" s="137">
        <v>4.0000000000000001E-3</v>
      </c>
      <c r="G66" s="137">
        <v>0</v>
      </c>
      <c r="H66" s="137">
        <v>0</v>
      </c>
      <c r="I66" s="137">
        <v>0</v>
      </c>
      <c r="J66" s="137">
        <v>0</v>
      </c>
      <c r="L66" s="137">
        <v>0</v>
      </c>
      <c r="M66" s="137">
        <v>0</v>
      </c>
    </row>
    <row r="67" spans="1:13" x14ac:dyDescent="0.25">
      <c r="A67" s="136">
        <v>3003586967</v>
      </c>
      <c r="B67" s="136">
        <v>289</v>
      </c>
      <c r="C67" s="136">
        <v>144</v>
      </c>
      <c r="D67" s="138">
        <v>0.5</v>
      </c>
      <c r="E67" s="136">
        <v>151</v>
      </c>
      <c r="F67" s="137">
        <v>3.0000000000000001E-3</v>
      </c>
      <c r="G67" s="137">
        <v>0</v>
      </c>
      <c r="H67" s="137">
        <v>0</v>
      </c>
      <c r="I67" s="137">
        <v>0</v>
      </c>
      <c r="J67" s="137">
        <v>0</v>
      </c>
      <c r="K67" s="137">
        <v>0</v>
      </c>
      <c r="L67" s="137">
        <v>0</v>
      </c>
      <c r="M67" s="137">
        <v>0</v>
      </c>
    </row>
    <row r="68" spans="1:13" x14ac:dyDescent="0.25">
      <c r="A68" s="136">
        <v>3003701876</v>
      </c>
      <c r="B68" s="136">
        <v>1783</v>
      </c>
      <c r="C68" s="136">
        <v>1107</v>
      </c>
      <c r="D68" s="138">
        <v>0.62</v>
      </c>
      <c r="E68" s="136">
        <v>0</v>
      </c>
      <c r="F68" s="137">
        <v>2.3E-2</v>
      </c>
      <c r="G68" s="137">
        <v>0</v>
      </c>
      <c r="H68" s="137">
        <v>0</v>
      </c>
      <c r="I68" s="137">
        <v>0</v>
      </c>
      <c r="J68" s="137">
        <v>0</v>
      </c>
      <c r="K68" s="137">
        <v>0</v>
      </c>
      <c r="L68" s="137">
        <v>0</v>
      </c>
      <c r="M68" s="137">
        <v>0</v>
      </c>
    </row>
    <row r="69" spans="1:13" x14ac:dyDescent="0.25">
      <c r="A69" s="136">
        <v>3003858507</v>
      </c>
      <c r="B69" s="136">
        <v>3308</v>
      </c>
      <c r="C69" s="136">
        <v>1686</v>
      </c>
      <c r="D69" s="138">
        <v>0.51</v>
      </c>
      <c r="E69" s="136">
        <v>0</v>
      </c>
      <c r="F69" s="137">
        <v>1E-4</v>
      </c>
      <c r="G69" s="137">
        <v>0.05</v>
      </c>
      <c r="H69" s="137">
        <v>0</v>
      </c>
      <c r="I69" s="137">
        <v>0</v>
      </c>
      <c r="J69" s="137">
        <v>0</v>
      </c>
      <c r="K69" s="137">
        <v>0</v>
      </c>
      <c r="L69" s="137">
        <v>0</v>
      </c>
      <c r="M69" s="137">
        <v>0</v>
      </c>
    </row>
    <row r="70" spans="1:13" x14ac:dyDescent="0.25">
      <c r="A70" s="136">
        <v>3003930453</v>
      </c>
      <c r="B70" s="136">
        <v>520</v>
      </c>
      <c r="C70" s="136">
        <v>337</v>
      </c>
      <c r="D70" s="138">
        <v>0.65</v>
      </c>
      <c r="E70" s="136">
        <v>0</v>
      </c>
      <c r="F70" s="137">
        <v>7.0000000000000001E-3</v>
      </c>
      <c r="G70" s="137">
        <v>0</v>
      </c>
      <c r="H70" s="137">
        <v>0</v>
      </c>
      <c r="I70" s="137">
        <v>0</v>
      </c>
      <c r="J70" s="137">
        <v>0</v>
      </c>
      <c r="K70" s="137">
        <v>0</v>
      </c>
      <c r="L70" s="137">
        <v>0</v>
      </c>
      <c r="M70" s="137">
        <v>0</v>
      </c>
    </row>
    <row r="71" spans="1:13" x14ac:dyDescent="0.25">
      <c r="A71" s="136">
        <v>3004256543</v>
      </c>
      <c r="B71" s="136">
        <v>181</v>
      </c>
      <c r="C71" s="136">
        <v>144</v>
      </c>
      <c r="D71" s="138">
        <v>0.8</v>
      </c>
      <c r="E71" s="136">
        <v>45</v>
      </c>
      <c r="F71" s="137">
        <v>3.0000000000000001E-3</v>
      </c>
      <c r="G71" s="137">
        <v>0</v>
      </c>
      <c r="H71" s="137">
        <v>0</v>
      </c>
      <c r="I71" s="137">
        <v>0</v>
      </c>
      <c r="J71" s="137">
        <v>0</v>
      </c>
      <c r="L71" s="137">
        <v>0</v>
      </c>
      <c r="M71" s="137">
        <v>0</v>
      </c>
    </row>
    <row r="72" spans="1:13" x14ac:dyDescent="0.25">
      <c r="A72" s="136">
        <v>3004263106</v>
      </c>
      <c r="B72" s="136">
        <v>243</v>
      </c>
      <c r="C72" s="136">
        <v>192</v>
      </c>
      <c r="D72" s="138">
        <v>0.79</v>
      </c>
      <c r="E72" s="136">
        <v>20</v>
      </c>
      <c r="F72" s="137">
        <v>4.0000000000000001E-3</v>
      </c>
      <c r="G72" s="137">
        <v>0</v>
      </c>
      <c r="H72" s="137">
        <v>0</v>
      </c>
      <c r="I72" s="137">
        <v>0</v>
      </c>
      <c r="J72" s="137">
        <v>0</v>
      </c>
      <c r="K72" s="137">
        <v>0</v>
      </c>
      <c r="L72" s="137">
        <v>0</v>
      </c>
      <c r="M72" s="137">
        <v>0</v>
      </c>
    </row>
    <row r="73" spans="1:13" x14ac:dyDescent="0.25">
      <c r="A73" s="136">
        <v>3004286709</v>
      </c>
      <c r="B73" s="136">
        <v>399</v>
      </c>
      <c r="C73" s="136">
        <v>5</v>
      </c>
      <c r="D73" s="138">
        <v>0.01</v>
      </c>
      <c r="E73" s="136">
        <v>583</v>
      </c>
      <c r="F73" s="137">
        <v>1E-4</v>
      </c>
      <c r="G73" s="137">
        <v>0</v>
      </c>
      <c r="H73" s="137">
        <v>0</v>
      </c>
      <c r="I73" s="137">
        <v>0.03</v>
      </c>
      <c r="J73" s="137">
        <v>0</v>
      </c>
      <c r="K73" s="137">
        <v>0</v>
      </c>
      <c r="L73" s="137">
        <v>0</v>
      </c>
      <c r="M73" s="137">
        <v>0</v>
      </c>
    </row>
    <row r="74" spans="1:13" x14ac:dyDescent="0.25">
      <c r="A74" s="136">
        <v>3004321665</v>
      </c>
      <c r="B74" s="136">
        <v>356</v>
      </c>
      <c r="C74" s="136">
        <v>385</v>
      </c>
      <c r="D74" s="138">
        <v>1.08</v>
      </c>
      <c r="E74" s="136">
        <v>209</v>
      </c>
      <c r="F74" s="137">
        <v>8.0000000000000002E-3</v>
      </c>
      <c r="G74" s="137">
        <v>0</v>
      </c>
      <c r="H74" s="137">
        <v>0</v>
      </c>
      <c r="I74" s="137">
        <v>0</v>
      </c>
      <c r="J74" s="137">
        <v>0</v>
      </c>
      <c r="L74" s="137">
        <v>0</v>
      </c>
      <c r="M74" s="137">
        <v>0</v>
      </c>
    </row>
    <row r="75" spans="1:13" x14ac:dyDescent="0.25">
      <c r="A75" s="136">
        <v>3004338248</v>
      </c>
      <c r="B75" s="136">
        <v>134</v>
      </c>
      <c r="C75" s="136">
        <v>144</v>
      </c>
      <c r="D75" s="138">
        <v>1.08</v>
      </c>
      <c r="E75" s="136">
        <v>178</v>
      </c>
      <c r="F75" s="137">
        <v>3.0000000000000001E-3</v>
      </c>
      <c r="G75" s="137">
        <v>0</v>
      </c>
      <c r="H75" s="137">
        <v>0</v>
      </c>
      <c r="I75" s="137">
        <v>0</v>
      </c>
      <c r="J75" s="137">
        <v>0</v>
      </c>
      <c r="K75" s="137">
        <v>0</v>
      </c>
      <c r="L75" s="137">
        <v>0</v>
      </c>
      <c r="M75" s="137">
        <v>0</v>
      </c>
    </row>
    <row r="76" spans="1:13" x14ac:dyDescent="0.25">
      <c r="A76" s="136">
        <v>3004493730</v>
      </c>
      <c r="B76" s="136">
        <v>662</v>
      </c>
      <c r="C76" s="136">
        <v>722</v>
      </c>
      <c r="D76" s="138">
        <v>1.0900000000000001</v>
      </c>
      <c r="E76" s="136">
        <v>114</v>
      </c>
      <c r="F76" s="137">
        <v>1.4999999999999999E-2</v>
      </c>
      <c r="G76" s="137">
        <v>0</v>
      </c>
      <c r="H76" s="137">
        <v>0</v>
      </c>
      <c r="I76" s="137">
        <v>0</v>
      </c>
      <c r="J76" s="137">
        <v>0</v>
      </c>
      <c r="L76" s="137">
        <v>0</v>
      </c>
      <c r="M76" s="137">
        <v>0</v>
      </c>
    </row>
    <row r="77" spans="1:13" x14ac:dyDescent="0.25">
      <c r="A77" s="136">
        <v>3004607095</v>
      </c>
      <c r="B77" s="136">
        <v>559</v>
      </c>
      <c r="C77" s="136">
        <v>5</v>
      </c>
      <c r="D77" s="138">
        <v>0.01</v>
      </c>
      <c r="E77" s="136">
        <v>113</v>
      </c>
      <c r="F77" s="137">
        <v>1E-4</v>
      </c>
      <c r="G77" s="137">
        <v>0</v>
      </c>
      <c r="H77" s="137">
        <v>0</v>
      </c>
      <c r="I77" s="137">
        <v>0</v>
      </c>
      <c r="J77" s="137">
        <v>0</v>
      </c>
      <c r="K77" s="137">
        <v>0</v>
      </c>
      <c r="L77" s="137">
        <v>0</v>
      </c>
      <c r="M77" s="137">
        <v>0</v>
      </c>
    </row>
    <row r="78" spans="1:13" x14ac:dyDescent="0.25">
      <c r="A78" s="136">
        <v>3004836151</v>
      </c>
      <c r="B78" s="136">
        <v>106</v>
      </c>
      <c r="C78" s="136">
        <v>96</v>
      </c>
      <c r="D78" s="138">
        <v>0.91</v>
      </c>
      <c r="E78" s="136">
        <v>61</v>
      </c>
      <c r="F78" s="137">
        <v>2E-3</v>
      </c>
      <c r="G78" s="137">
        <v>0</v>
      </c>
      <c r="H78" s="137">
        <v>0</v>
      </c>
      <c r="I78" s="137">
        <v>0</v>
      </c>
      <c r="J78" s="137">
        <v>0</v>
      </c>
      <c r="L78" s="137">
        <v>0</v>
      </c>
      <c r="M78" s="137">
        <v>0</v>
      </c>
    </row>
    <row r="79" spans="1:13" x14ac:dyDescent="0.25">
      <c r="A79" s="136">
        <v>3005316449</v>
      </c>
      <c r="B79" s="136">
        <v>290</v>
      </c>
      <c r="C79" s="136">
        <v>289</v>
      </c>
      <c r="D79" s="138">
        <v>1</v>
      </c>
      <c r="E79" s="136">
        <v>192</v>
      </c>
      <c r="F79" s="137">
        <v>6.0000000000000001E-3</v>
      </c>
      <c r="G79" s="137">
        <v>0</v>
      </c>
      <c r="H79" s="137">
        <v>0</v>
      </c>
      <c r="I79" s="137">
        <v>0</v>
      </c>
      <c r="J79" s="137">
        <v>0</v>
      </c>
      <c r="K79" s="137">
        <v>0</v>
      </c>
      <c r="L79" s="137">
        <v>0</v>
      </c>
      <c r="M79" s="137">
        <v>0</v>
      </c>
    </row>
    <row r="80" spans="1:13" x14ac:dyDescent="0.25">
      <c r="A80" s="136">
        <v>3005361089</v>
      </c>
      <c r="B80" s="136">
        <v>166</v>
      </c>
      <c r="C80" s="136">
        <v>144</v>
      </c>
      <c r="D80" s="138">
        <v>0.87</v>
      </c>
      <c r="E80" s="136">
        <v>241</v>
      </c>
      <c r="F80" s="137">
        <v>3.0000000000000001E-3</v>
      </c>
      <c r="G80" s="137">
        <v>0</v>
      </c>
      <c r="H80" s="137">
        <v>0</v>
      </c>
      <c r="I80" s="137">
        <v>0</v>
      </c>
      <c r="J80" s="137">
        <v>0</v>
      </c>
      <c r="K80" s="137">
        <v>0</v>
      </c>
      <c r="L80" s="137">
        <v>0</v>
      </c>
      <c r="M80" s="137">
        <v>0</v>
      </c>
    </row>
    <row r="81" spans="1:13" x14ac:dyDescent="0.25">
      <c r="A81" s="136">
        <v>3005379331</v>
      </c>
      <c r="B81" s="136">
        <v>242</v>
      </c>
      <c r="C81" s="136">
        <v>192</v>
      </c>
      <c r="D81" s="138">
        <v>0.79</v>
      </c>
      <c r="E81" s="136">
        <v>29</v>
      </c>
      <c r="F81" s="137">
        <v>4.0000000000000001E-3</v>
      </c>
      <c r="G81" s="137">
        <v>0</v>
      </c>
      <c r="H81" s="137">
        <v>0</v>
      </c>
      <c r="I81" s="137">
        <v>0</v>
      </c>
      <c r="J81" s="137">
        <v>0</v>
      </c>
      <c r="K81" s="137">
        <v>0</v>
      </c>
      <c r="L81" s="137">
        <v>0</v>
      </c>
      <c r="M81" s="137">
        <v>0</v>
      </c>
    </row>
    <row r="82" spans="1:13" x14ac:dyDescent="0.25">
      <c r="A82" s="136">
        <v>3005520597</v>
      </c>
      <c r="B82" s="136">
        <v>294</v>
      </c>
      <c r="C82" s="136">
        <v>5</v>
      </c>
      <c r="D82" s="138">
        <v>0.02</v>
      </c>
      <c r="E82" s="136">
        <v>384</v>
      </c>
      <c r="F82" s="137">
        <v>1E-4</v>
      </c>
      <c r="G82" s="137">
        <v>0</v>
      </c>
      <c r="H82" s="137">
        <v>0</v>
      </c>
      <c r="I82" s="137">
        <v>1.6E-2</v>
      </c>
      <c r="J82" s="137">
        <v>0</v>
      </c>
      <c r="K82" s="137">
        <v>0</v>
      </c>
      <c r="L82" s="137">
        <v>0</v>
      </c>
      <c r="M82" s="137">
        <v>0</v>
      </c>
    </row>
    <row r="83" spans="1:13" x14ac:dyDescent="0.25">
      <c r="A83" s="136">
        <v>3005534144</v>
      </c>
      <c r="B83" s="136">
        <v>258</v>
      </c>
      <c r="C83" s="136">
        <v>5</v>
      </c>
      <c r="D83" s="138">
        <v>0.02</v>
      </c>
      <c r="E83" s="136">
        <v>1179</v>
      </c>
      <c r="F83" s="137">
        <v>1E-4</v>
      </c>
      <c r="G83" s="137">
        <v>0</v>
      </c>
      <c r="H83" s="137">
        <v>0</v>
      </c>
      <c r="I83" s="137">
        <v>0</v>
      </c>
      <c r="J83" s="137">
        <v>0</v>
      </c>
      <c r="K83" s="137">
        <v>0</v>
      </c>
      <c r="L83" s="137">
        <v>0</v>
      </c>
      <c r="M83" s="137">
        <v>0</v>
      </c>
    </row>
    <row r="84" spans="1:13" x14ac:dyDescent="0.25">
      <c r="A84" s="136">
        <v>3005583221</v>
      </c>
      <c r="B84" s="136">
        <v>96</v>
      </c>
      <c r="C84" s="136">
        <v>0</v>
      </c>
      <c r="D84" s="138">
        <v>0</v>
      </c>
      <c r="E84" s="136">
        <v>1471</v>
      </c>
      <c r="F84" s="137">
        <v>0</v>
      </c>
      <c r="G84" s="137">
        <v>0</v>
      </c>
      <c r="H84" s="137">
        <v>0</v>
      </c>
      <c r="I84" s="137">
        <v>0</v>
      </c>
      <c r="J84" s="137">
        <v>0</v>
      </c>
      <c r="K84" s="137">
        <v>0</v>
      </c>
      <c r="L84" s="137">
        <v>0</v>
      </c>
      <c r="M84" s="137">
        <v>0</v>
      </c>
    </row>
    <row r="85" spans="1:13" x14ac:dyDescent="0.25">
      <c r="A85" s="136">
        <v>3006683003</v>
      </c>
      <c r="B85" s="136">
        <v>172</v>
      </c>
      <c r="C85" s="136">
        <v>5</v>
      </c>
      <c r="D85" s="138">
        <v>0.03</v>
      </c>
      <c r="E85" s="136">
        <v>717</v>
      </c>
      <c r="F85" s="137">
        <v>1E-4</v>
      </c>
      <c r="G85" s="137">
        <v>0</v>
      </c>
      <c r="H85" s="137">
        <v>0</v>
      </c>
      <c r="I85" s="137">
        <v>0.01</v>
      </c>
      <c r="J85" s="137">
        <v>0</v>
      </c>
      <c r="K85" s="137">
        <v>0</v>
      </c>
      <c r="L85" s="137">
        <v>0</v>
      </c>
      <c r="M85" s="137">
        <v>0</v>
      </c>
    </row>
    <row r="86" spans="1:13" x14ac:dyDescent="0.25">
      <c r="A86" s="136">
        <v>3006732798</v>
      </c>
      <c r="B86" s="136">
        <v>1705</v>
      </c>
      <c r="C86" s="136">
        <v>5</v>
      </c>
      <c r="D86" s="138">
        <v>0</v>
      </c>
      <c r="E86" s="136">
        <v>753</v>
      </c>
      <c r="F86" s="137">
        <v>1E-4</v>
      </c>
      <c r="G86" s="137">
        <v>0</v>
      </c>
      <c r="H86" s="137">
        <v>0</v>
      </c>
      <c r="I86" s="137">
        <v>0.09</v>
      </c>
      <c r="J86" s="137">
        <v>0</v>
      </c>
      <c r="K86" s="137">
        <v>0</v>
      </c>
      <c r="L86" s="137">
        <v>0</v>
      </c>
      <c r="M86" s="137">
        <v>0</v>
      </c>
    </row>
    <row r="87" spans="1:13" x14ac:dyDescent="0.25">
      <c r="A87" s="136">
        <v>3007395349</v>
      </c>
      <c r="B87" s="136">
        <v>247</v>
      </c>
      <c r="C87" s="136">
        <v>5</v>
      </c>
      <c r="D87" s="138">
        <v>0.02</v>
      </c>
      <c r="E87" s="136">
        <v>686</v>
      </c>
      <c r="F87" s="137">
        <v>1E-4</v>
      </c>
      <c r="G87" s="137">
        <v>0</v>
      </c>
      <c r="H87" s="137">
        <v>0</v>
      </c>
      <c r="I87" s="137">
        <v>0</v>
      </c>
      <c r="J87" s="137">
        <v>0</v>
      </c>
      <c r="K87" s="137">
        <v>0</v>
      </c>
      <c r="L87" s="137">
        <v>0</v>
      </c>
      <c r="M87" s="137">
        <v>0</v>
      </c>
    </row>
    <row r="88" spans="1:13" x14ac:dyDescent="0.25">
      <c r="A88" s="136">
        <v>3007515476</v>
      </c>
      <c r="B88" s="136">
        <v>555</v>
      </c>
      <c r="C88" s="136">
        <v>361</v>
      </c>
      <c r="D88" s="138">
        <v>0.65</v>
      </c>
      <c r="E88" s="136">
        <v>0</v>
      </c>
      <c r="F88" s="137">
        <v>7.4999999999999997E-3</v>
      </c>
      <c r="G88" s="137">
        <v>0</v>
      </c>
      <c r="H88" s="137">
        <v>0</v>
      </c>
      <c r="I88" s="137">
        <v>0</v>
      </c>
      <c r="J88" s="137">
        <v>0</v>
      </c>
      <c r="K88" s="137">
        <v>0</v>
      </c>
      <c r="L88" s="137">
        <v>0</v>
      </c>
      <c r="M88" s="137">
        <v>0</v>
      </c>
    </row>
    <row r="89" spans="1:13" x14ac:dyDescent="0.25">
      <c r="A89" s="136">
        <v>3007592986</v>
      </c>
      <c r="B89" s="136">
        <v>255</v>
      </c>
      <c r="C89" s="136">
        <v>241</v>
      </c>
      <c r="D89" s="138">
        <v>0.94</v>
      </c>
      <c r="E89" s="136">
        <v>75</v>
      </c>
      <c r="F89" s="137">
        <v>5.0000000000000001E-3</v>
      </c>
      <c r="G89" s="137">
        <v>0</v>
      </c>
      <c r="H89" s="137">
        <v>0</v>
      </c>
      <c r="I89" s="137">
        <v>0</v>
      </c>
      <c r="J89" s="137">
        <v>0</v>
      </c>
      <c r="K89" s="137">
        <v>0</v>
      </c>
      <c r="L89" s="137">
        <v>0</v>
      </c>
      <c r="M89" s="137">
        <v>0</v>
      </c>
    </row>
    <row r="90" spans="1:13" x14ac:dyDescent="0.25">
      <c r="A90" s="136">
        <v>3007666234</v>
      </c>
      <c r="B90" s="136">
        <v>1234</v>
      </c>
      <c r="C90" s="136">
        <v>5</v>
      </c>
      <c r="D90" s="138">
        <v>0</v>
      </c>
      <c r="E90" s="136">
        <v>0</v>
      </c>
      <c r="F90" s="137">
        <v>1E-4</v>
      </c>
      <c r="G90" s="137">
        <v>0</v>
      </c>
      <c r="H90" s="137">
        <v>0</v>
      </c>
      <c r="I90" s="137">
        <v>7.0000000000000007E-2</v>
      </c>
      <c r="J90" s="137">
        <v>0</v>
      </c>
      <c r="K90" s="137">
        <v>0</v>
      </c>
      <c r="L90" s="137">
        <v>0</v>
      </c>
      <c r="M90" s="137">
        <v>0</v>
      </c>
    </row>
    <row r="91" spans="1:13" x14ac:dyDescent="0.25">
      <c r="A91" s="136">
        <v>3007698929</v>
      </c>
      <c r="B91" s="136">
        <v>158</v>
      </c>
      <c r="C91" s="136">
        <v>144</v>
      </c>
      <c r="D91" s="138">
        <v>0.91</v>
      </c>
      <c r="E91" s="136">
        <v>260</v>
      </c>
      <c r="F91" s="137">
        <v>3.0000000000000001E-3</v>
      </c>
      <c r="G91" s="137">
        <v>0</v>
      </c>
      <c r="H91" s="137">
        <v>0</v>
      </c>
      <c r="I91" s="137">
        <v>0</v>
      </c>
      <c r="J91" s="137">
        <v>0</v>
      </c>
      <c r="K91" s="137">
        <v>0</v>
      </c>
      <c r="L91" s="137">
        <v>0</v>
      </c>
      <c r="M91" s="137">
        <v>0</v>
      </c>
    </row>
    <row r="92" spans="1:13" x14ac:dyDescent="0.25">
      <c r="A92" s="136">
        <v>3007714435</v>
      </c>
      <c r="B92" s="136">
        <v>1558</v>
      </c>
      <c r="C92" s="136">
        <v>0</v>
      </c>
      <c r="D92" s="138">
        <v>0</v>
      </c>
      <c r="E92" s="136">
        <v>0</v>
      </c>
      <c r="F92" s="137">
        <v>0</v>
      </c>
      <c r="G92" s="137">
        <v>0</v>
      </c>
      <c r="H92" s="137">
        <v>0</v>
      </c>
      <c r="I92" s="137">
        <v>0</v>
      </c>
      <c r="J92" s="137">
        <v>0</v>
      </c>
      <c r="K92" s="137">
        <v>0</v>
      </c>
      <c r="L92" s="137">
        <v>0</v>
      </c>
      <c r="M92" s="137">
        <v>0</v>
      </c>
    </row>
    <row r="93" spans="1:13" x14ac:dyDescent="0.25">
      <c r="A93" s="136">
        <v>3007768063</v>
      </c>
      <c r="B93" s="136">
        <v>720</v>
      </c>
      <c r="E93" s="136">
        <v>0</v>
      </c>
      <c r="F93" s="137">
        <v>0</v>
      </c>
      <c r="G93" s="137">
        <v>0</v>
      </c>
      <c r="H93" s="137">
        <v>0</v>
      </c>
      <c r="I93" s="137">
        <v>0</v>
      </c>
      <c r="J93" s="137">
        <v>0</v>
      </c>
      <c r="L93" s="137">
        <v>0</v>
      </c>
      <c r="M93" s="137">
        <v>0</v>
      </c>
    </row>
    <row r="94" spans="1:13" x14ac:dyDescent="0.25">
      <c r="A94" s="136">
        <v>3009018668</v>
      </c>
      <c r="B94" s="136">
        <v>10500</v>
      </c>
      <c r="C94" s="136">
        <v>5</v>
      </c>
      <c r="D94" s="138">
        <v>0</v>
      </c>
      <c r="E94" s="136">
        <v>0</v>
      </c>
      <c r="F94" s="137">
        <v>1E-4</v>
      </c>
      <c r="G94" s="137">
        <v>0</v>
      </c>
      <c r="H94" s="137">
        <v>0</v>
      </c>
      <c r="I94" s="137">
        <v>0</v>
      </c>
      <c r="J94" s="137">
        <v>0</v>
      </c>
      <c r="K94" s="137">
        <v>0</v>
      </c>
      <c r="L94" s="137">
        <v>0</v>
      </c>
      <c r="M94" s="137">
        <v>0</v>
      </c>
    </row>
    <row r="95" spans="1:13" x14ac:dyDescent="0.25">
      <c r="A95" s="136">
        <v>3010469819</v>
      </c>
      <c r="B95" s="136">
        <v>2489</v>
      </c>
      <c r="C95" s="136">
        <v>5</v>
      </c>
      <c r="D95" s="138">
        <v>0</v>
      </c>
      <c r="E95" s="136">
        <v>3308</v>
      </c>
      <c r="F95" s="137">
        <v>1E-4</v>
      </c>
      <c r="G95" s="137">
        <v>0</v>
      </c>
      <c r="H95" s="137">
        <v>0</v>
      </c>
      <c r="I95" s="137">
        <v>0.19</v>
      </c>
      <c r="J95" s="137">
        <v>0</v>
      </c>
      <c r="K95" s="137">
        <v>0</v>
      </c>
      <c r="L95" s="137">
        <v>0</v>
      </c>
      <c r="M95" s="137">
        <v>0</v>
      </c>
    </row>
    <row r="96" spans="1:13" x14ac:dyDescent="0.25">
      <c r="A96" s="136">
        <v>3010470206</v>
      </c>
      <c r="B96" s="136">
        <v>222</v>
      </c>
      <c r="C96" s="136">
        <v>192</v>
      </c>
      <c r="D96" s="138">
        <v>0.87</v>
      </c>
      <c r="E96" s="136">
        <v>87</v>
      </c>
      <c r="F96" s="137">
        <v>4.0000000000000001E-3</v>
      </c>
      <c r="G96" s="137">
        <v>0</v>
      </c>
      <c r="H96" s="137">
        <v>0</v>
      </c>
      <c r="I96" s="137">
        <v>0</v>
      </c>
      <c r="J96" s="137">
        <v>0</v>
      </c>
      <c r="K96" s="137">
        <v>0</v>
      </c>
      <c r="L96" s="137">
        <v>0</v>
      </c>
      <c r="M96" s="137">
        <v>0</v>
      </c>
    </row>
    <row r="97" spans="1:13" x14ac:dyDescent="0.25">
      <c r="A97" s="136">
        <v>3010477511</v>
      </c>
      <c r="B97" s="136">
        <v>882</v>
      </c>
      <c r="C97" s="136">
        <v>866</v>
      </c>
      <c r="D97" s="138">
        <v>0.98</v>
      </c>
      <c r="E97" s="136">
        <v>809</v>
      </c>
      <c r="F97" s="137">
        <v>1.7999999999999999E-2</v>
      </c>
      <c r="G97" s="137">
        <v>0</v>
      </c>
      <c r="H97" s="137">
        <v>0</v>
      </c>
      <c r="I97" s="137">
        <v>0</v>
      </c>
      <c r="J97" s="137">
        <v>0</v>
      </c>
      <c r="K97" s="137">
        <v>0</v>
      </c>
      <c r="L97" s="137">
        <v>0</v>
      </c>
      <c r="M97" s="137">
        <v>0</v>
      </c>
    </row>
    <row r="98" spans="1:13" x14ac:dyDescent="0.25">
      <c r="A98" s="136">
        <v>3010642300</v>
      </c>
      <c r="B98" s="136">
        <v>445</v>
      </c>
      <c r="C98" s="136">
        <v>289</v>
      </c>
      <c r="D98" s="138">
        <v>0.65</v>
      </c>
      <c r="E98" s="136">
        <v>431</v>
      </c>
      <c r="F98" s="137">
        <v>6.0000000000000001E-3</v>
      </c>
      <c r="G98" s="137">
        <v>0</v>
      </c>
      <c r="H98" s="137">
        <v>0</v>
      </c>
      <c r="I98" s="137">
        <v>0</v>
      </c>
      <c r="J98" s="137">
        <v>0</v>
      </c>
      <c r="K98" s="137">
        <v>0</v>
      </c>
      <c r="L98" s="137">
        <v>0</v>
      </c>
      <c r="M98" s="137">
        <v>0</v>
      </c>
    </row>
    <row r="99" spans="1:13" x14ac:dyDescent="0.25">
      <c r="A99" s="136">
        <v>3010656684</v>
      </c>
      <c r="B99" s="136">
        <v>232</v>
      </c>
      <c r="C99" s="136">
        <v>144</v>
      </c>
      <c r="D99" s="138">
        <v>0.62</v>
      </c>
      <c r="E99" s="136">
        <v>0</v>
      </c>
      <c r="F99" s="137">
        <v>3.0000000000000001E-3</v>
      </c>
      <c r="G99" s="137">
        <v>0</v>
      </c>
      <c r="H99" s="137">
        <v>0</v>
      </c>
      <c r="I99" s="137">
        <v>0</v>
      </c>
      <c r="J99" s="137">
        <v>0</v>
      </c>
      <c r="L99" s="137">
        <v>0</v>
      </c>
      <c r="M99" s="137">
        <v>0</v>
      </c>
    </row>
    <row r="100" spans="1:13" x14ac:dyDescent="0.25">
      <c r="A100" s="136">
        <v>3010696239</v>
      </c>
      <c r="B100" s="136">
        <v>323</v>
      </c>
      <c r="C100" s="136">
        <v>241</v>
      </c>
      <c r="D100" s="138">
        <v>0.74</v>
      </c>
      <c r="E100" s="136">
        <v>310</v>
      </c>
      <c r="F100" s="137">
        <v>5.0000000000000001E-3</v>
      </c>
      <c r="G100" s="137">
        <v>0</v>
      </c>
      <c r="H100" s="137">
        <v>0</v>
      </c>
      <c r="I100" s="137">
        <v>0</v>
      </c>
      <c r="J100" s="137">
        <v>0</v>
      </c>
      <c r="L100" s="137">
        <v>0</v>
      </c>
      <c r="M100" s="137">
        <v>0</v>
      </c>
    </row>
    <row r="101" spans="1:13" x14ac:dyDescent="0.25">
      <c r="A101" s="136">
        <v>3010727330</v>
      </c>
      <c r="B101" s="136">
        <v>125</v>
      </c>
      <c r="C101" s="136">
        <v>144</v>
      </c>
      <c r="D101" s="138">
        <v>1.1499999999999999</v>
      </c>
      <c r="E101" s="136">
        <v>71</v>
      </c>
      <c r="F101" s="137">
        <v>3.0000000000000001E-3</v>
      </c>
      <c r="G101" s="137">
        <v>0</v>
      </c>
      <c r="H101" s="137">
        <v>0</v>
      </c>
      <c r="I101" s="137">
        <v>0</v>
      </c>
      <c r="J101" s="137">
        <v>0</v>
      </c>
      <c r="L101" s="137">
        <v>0</v>
      </c>
      <c r="M101" s="137">
        <v>0</v>
      </c>
    </row>
    <row r="102" spans="1:13" x14ac:dyDescent="0.25">
      <c r="A102" s="136">
        <v>3010964524</v>
      </c>
      <c r="B102" s="136">
        <v>65</v>
      </c>
      <c r="C102" s="136">
        <v>96</v>
      </c>
      <c r="D102" s="138">
        <v>1.49</v>
      </c>
      <c r="E102" s="136">
        <v>200</v>
      </c>
      <c r="F102" s="137">
        <v>2E-3</v>
      </c>
      <c r="G102" s="137">
        <v>0</v>
      </c>
      <c r="H102" s="137">
        <v>0</v>
      </c>
      <c r="I102" s="137">
        <v>0</v>
      </c>
      <c r="J102" s="137">
        <v>0</v>
      </c>
      <c r="K102" s="137">
        <v>0</v>
      </c>
      <c r="L102" s="137">
        <v>0</v>
      </c>
      <c r="M102" s="137">
        <v>0</v>
      </c>
    </row>
    <row r="103" spans="1:13" x14ac:dyDescent="0.25">
      <c r="A103" s="136">
        <v>3011186347</v>
      </c>
      <c r="B103" s="136">
        <v>253</v>
      </c>
      <c r="C103" s="136">
        <v>5</v>
      </c>
      <c r="D103" s="138">
        <v>0.02</v>
      </c>
      <c r="E103" s="136">
        <v>158</v>
      </c>
      <c r="F103" s="137">
        <v>1E-4</v>
      </c>
      <c r="G103" s="137">
        <v>0</v>
      </c>
      <c r="H103" s="137">
        <v>0</v>
      </c>
      <c r="I103" s="137">
        <v>0.03</v>
      </c>
      <c r="J103" s="137">
        <v>0</v>
      </c>
      <c r="K103" s="137">
        <v>0</v>
      </c>
      <c r="L103" s="137">
        <v>0</v>
      </c>
      <c r="M103" s="137">
        <v>0</v>
      </c>
    </row>
    <row r="104" spans="1:13" x14ac:dyDescent="0.25">
      <c r="A104" s="136">
        <v>3011336832</v>
      </c>
      <c r="B104" s="136">
        <v>282</v>
      </c>
      <c r="C104" s="136">
        <v>144</v>
      </c>
      <c r="D104" s="138">
        <v>0.51</v>
      </c>
      <c r="E104" s="136">
        <v>0</v>
      </c>
      <c r="F104" s="137">
        <v>3.0000000000000001E-3</v>
      </c>
      <c r="G104" s="137">
        <v>0</v>
      </c>
      <c r="H104" s="137">
        <v>0</v>
      </c>
      <c r="I104" s="137">
        <v>0</v>
      </c>
      <c r="J104" s="137">
        <v>0</v>
      </c>
      <c r="L104" s="137">
        <v>0</v>
      </c>
      <c r="M104" s="137">
        <v>0</v>
      </c>
    </row>
    <row r="105" spans="1:13" x14ac:dyDescent="0.25">
      <c r="A105" s="136">
        <v>3011373971</v>
      </c>
      <c r="B105" s="136">
        <v>467</v>
      </c>
      <c r="C105" s="136">
        <v>3368</v>
      </c>
      <c r="D105" s="138">
        <v>7.22</v>
      </c>
      <c r="E105" s="136">
        <v>1359</v>
      </c>
      <c r="F105" s="137">
        <v>1E-4</v>
      </c>
      <c r="G105" s="137">
        <v>0.1</v>
      </c>
      <c r="H105" s="137">
        <v>0</v>
      </c>
      <c r="I105" s="137">
        <v>0</v>
      </c>
      <c r="J105" s="137">
        <v>0</v>
      </c>
      <c r="K105" s="137">
        <v>0</v>
      </c>
      <c r="L105" s="137">
        <v>0</v>
      </c>
      <c r="M105" s="137">
        <v>0</v>
      </c>
    </row>
    <row r="106" spans="1:13" x14ac:dyDescent="0.25">
      <c r="A106" s="136">
        <v>3011377412</v>
      </c>
      <c r="B106" s="136">
        <v>1353</v>
      </c>
      <c r="C106" s="136">
        <v>1011</v>
      </c>
      <c r="D106" s="138">
        <v>0.75</v>
      </c>
      <c r="E106" s="136">
        <v>0</v>
      </c>
      <c r="F106" s="137">
        <v>2.1000000000000001E-2</v>
      </c>
      <c r="G106" s="137">
        <v>0</v>
      </c>
      <c r="H106" s="137">
        <v>0</v>
      </c>
      <c r="I106" s="137">
        <v>0</v>
      </c>
      <c r="J106" s="137">
        <v>0</v>
      </c>
      <c r="K106" s="137">
        <v>0</v>
      </c>
      <c r="L106" s="137">
        <v>0</v>
      </c>
      <c r="M106" s="137">
        <v>0</v>
      </c>
    </row>
    <row r="107" spans="1:13" x14ac:dyDescent="0.25">
      <c r="A107" s="136">
        <v>3011504476</v>
      </c>
      <c r="B107" s="136">
        <v>1867</v>
      </c>
      <c r="C107" s="136">
        <v>4325</v>
      </c>
      <c r="D107" s="138">
        <v>2.3199999999999998</v>
      </c>
      <c r="E107" s="136">
        <v>127</v>
      </c>
      <c r="F107" s="137">
        <v>0.02</v>
      </c>
      <c r="G107" s="137">
        <v>0.1</v>
      </c>
      <c r="H107" s="137">
        <v>0</v>
      </c>
      <c r="I107" s="137">
        <v>0</v>
      </c>
      <c r="J107" s="137">
        <v>0</v>
      </c>
      <c r="K107" s="137">
        <v>0</v>
      </c>
      <c r="L107" s="137">
        <v>0</v>
      </c>
      <c r="M107" s="137">
        <v>0</v>
      </c>
    </row>
    <row r="108" spans="1:13" x14ac:dyDescent="0.25">
      <c r="A108" s="136">
        <v>3011515927</v>
      </c>
      <c r="B108" s="136">
        <v>1271</v>
      </c>
      <c r="C108" s="136">
        <v>481</v>
      </c>
      <c r="D108" s="138">
        <v>0.38</v>
      </c>
      <c r="E108" s="136">
        <v>0</v>
      </c>
      <c r="F108" s="137">
        <v>0.01</v>
      </c>
      <c r="G108" s="137">
        <v>0</v>
      </c>
      <c r="H108" s="137">
        <v>0</v>
      </c>
      <c r="I108" s="137">
        <v>0</v>
      </c>
      <c r="J108" s="137">
        <v>0</v>
      </c>
      <c r="K108" s="137">
        <v>0</v>
      </c>
      <c r="L108" s="137">
        <v>0</v>
      </c>
      <c r="M108" s="137">
        <v>0</v>
      </c>
    </row>
    <row r="109" spans="1:13" x14ac:dyDescent="0.25">
      <c r="A109" s="136">
        <v>3011701509</v>
      </c>
      <c r="B109" s="136">
        <v>219</v>
      </c>
      <c r="C109" s="136">
        <v>144</v>
      </c>
      <c r="D109" s="138">
        <v>0.66</v>
      </c>
      <c r="E109" s="136">
        <v>0</v>
      </c>
      <c r="F109" s="137">
        <v>3.0000000000000001E-3</v>
      </c>
      <c r="G109" s="137">
        <v>0</v>
      </c>
      <c r="H109" s="137">
        <v>0</v>
      </c>
      <c r="I109" s="137">
        <v>0</v>
      </c>
      <c r="J109" s="137">
        <v>0</v>
      </c>
      <c r="K109" s="137">
        <v>0</v>
      </c>
      <c r="L109" s="137">
        <v>0</v>
      </c>
      <c r="M109" s="137">
        <v>0</v>
      </c>
    </row>
    <row r="110" spans="1:13" x14ac:dyDescent="0.25">
      <c r="A110" s="136">
        <v>3011850238</v>
      </c>
      <c r="B110" s="136">
        <v>189</v>
      </c>
      <c r="C110" s="136">
        <v>144</v>
      </c>
      <c r="D110" s="138">
        <v>0.76</v>
      </c>
      <c r="E110" s="136">
        <v>280</v>
      </c>
      <c r="F110" s="137">
        <v>3.0000000000000001E-3</v>
      </c>
      <c r="G110" s="137">
        <v>0</v>
      </c>
      <c r="H110" s="137">
        <v>0</v>
      </c>
      <c r="I110" s="137">
        <v>0</v>
      </c>
      <c r="J110" s="137">
        <v>0</v>
      </c>
      <c r="K110" s="137">
        <v>0</v>
      </c>
      <c r="L110" s="137">
        <v>0</v>
      </c>
      <c r="M110" s="137">
        <v>0</v>
      </c>
    </row>
    <row r="111" spans="1:13" x14ac:dyDescent="0.25">
      <c r="A111" s="136">
        <v>3011882114</v>
      </c>
      <c r="B111" s="136">
        <v>233</v>
      </c>
      <c r="C111" s="136">
        <v>192</v>
      </c>
      <c r="D111" s="138">
        <v>0.83</v>
      </c>
      <c r="E111" s="136">
        <v>65</v>
      </c>
      <c r="F111" s="137">
        <v>4.0000000000000001E-3</v>
      </c>
      <c r="G111" s="137">
        <v>0</v>
      </c>
      <c r="H111" s="137">
        <v>0</v>
      </c>
      <c r="I111" s="137">
        <v>0</v>
      </c>
      <c r="J111" s="137">
        <v>0</v>
      </c>
      <c r="L111" s="137">
        <v>0</v>
      </c>
      <c r="M111" s="137">
        <v>0</v>
      </c>
    </row>
    <row r="112" spans="1:13" x14ac:dyDescent="0.25">
      <c r="A112" s="136">
        <v>3012107385</v>
      </c>
      <c r="B112" s="136">
        <v>534</v>
      </c>
      <c r="C112" s="136">
        <v>1778</v>
      </c>
      <c r="D112" s="138">
        <v>3.33</v>
      </c>
      <c r="E112" s="136">
        <v>3139</v>
      </c>
      <c r="F112" s="137">
        <v>2E-3</v>
      </c>
      <c r="G112" s="137">
        <v>0.05</v>
      </c>
      <c r="H112" s="137">
        <v>0</v>
      </c>
      <c r="I112" s="137">
        <v>0</v>
      </c>
      <c r="J112" s="137">
        <v>0</v>
      </c>
      <c r="K112" s="137">
        <v>0</v>
      </c>
      <c r="L112" s="137">
        <v>0</v>
      </c>
      <c r="M112" s="137">
        <v>0</v>
      </c>
    </row>
    <row r="113" spans="1:13" x14ac:dyDescent="0.25">
      <c r="A113" s="136">
        <v>3012123920</v>
      </c>
      <c r="B113" s="136">
        <v>336</v>
      </c>
      <c r="C113" s="136">
        <v>481</v>
      </c>
      <c r="D113" s="138">
        <v>1.43</v>
      </c>
      <c r="E113" s="136">
        <v>610</v>
      </c>
      <c r="F113" s="137">
        <v>0.01</v>
      </c>
      <c r="G113" s="137">
        <v>0</v>
      </c>
      <c r="H113" s="137">
        <v>0</v>
      </c>
      <c r="I113" s="137">
        <v>0</v>
      </c>
      <c r="J113" s="137">
        <v>0</v>
      </c>
      <c r="K113" s="137">
        <v>0</v>
      </c>
      <c r="L113" s="137">
        <v>0</v>
      </c>
      <c r="M113" s="137">
        <v>0</v>
      </c>
    </row>
    <row r="114" spans="1:13" x14ac:dyDescent="0.25">
      <c r="A114" s="136">
        <v>3012189878</v>
      </c>
      <c r="B114" s="136">
        <v>879</v>
      </c>
      <c r="C114" s="136">
        <v>1826</v>
      </c>
      <c r="D114" s="138">
        <v>2.08</v>
      </c>
      <c r="E114" s="136">
        <v>0</v>
      </c>
      <c r="F114" s="137">
        <v>3.0000000000000001E-3</v>
      </c>
      <c r="G114" s="137">
        <v>0.05</v>
      </c>
      <c r="H114" s="137">
        <v>0</v>
      </c>
      <c r="I114" s="137">
        <v>0</v>
      </c>
      <c r="J114" s="137">
        <v>0</v>
      </c>
      <c r="K114" s="137">
        <v>0</v>
      </c>
      <c r="L114" s="137">
        <v>0</v>
      </c>
      <c r="M114" s="137">
        <v>0</v>
      </c>
    </row>
    <row r="115" spans="1:13" x14ac:dyDescent="0.25">
      <c r="A115" s="136">
        <v>3012262751</v>
      </c>
      <c r="B115" s="136">
        <v>235</v>
      </c>
      <c r="C115" s="136">
        <v>5</v>
      </c>
      <c r="D115" s="138">
        <v>0.02</v>
      </c>
      <c r="E115" s="136">
        <v>913</v>
      </c>
      <c r="F115" s="137">
        <v>1E-4</v>
      </c>
      <c r="G115" s="137">
        <v>0</v>
      </c>
      <c r="H115" s="137">
        <v>0</v>
      </c>
      <c r="I115" s="137">
        <v>0</v>
      </c>
      <c r="J115" s="137">
        <v>0</v>
      </c>
      <c r="K115" s="137">
        <v>0</v>
      </c>
      <c r="L115" s="137">
        <v>0</v>
      </c>
      <c r="M115" s="137">
        <v>0</v>
      </c>
    </row>
    <row r="116" spans="1:13" x14ac:dyDescent="0.25">
      <c r="A116" s="136">
        <v>3012307446</v>
      </c>
      <c r="B116" s="136">
        <v>2547</v>
      </c>
      <c r="E116" s="136">
        <v>4797</v>
      </c>
      <c r="F116" s="137">
        <v>0</v>
      </c>
      <c r="G116" s="137">
        <v>0</v>
      </c>
      <c r="H116" s="137">
        <v>0</v>
      </c>
      <c r="I116" s="137">
        <v>0</v>
      </c>
      <c r="J116" s="137">
        <v>0</v>
      </c>
      <c r="K116" s="137">
        <v>0</v>
      </c>
      <c r="L116" s="137">
        <v>0</v>
      </c>
      <c r="M116" s="137">
        <v>0</v>
      </c>
    </row>
    <row r="117" spans="1:13" x14ac:dyDescent="0.25">
      <c r="A117" s="136">
        <v>3012512271</v>
      </c>
      <c r="B117" s="136">
        <v>489</v>
      </c>
      <c r="C117" s="136">
        <v>385</v>
      </c>
      <c r="D117" s="138">
        <v>0.79</v>
      </c>
      <c r="E117" s="136">
        <v>51</v>
      </c>
      <c r="F117" s="137">
        <v>8.0000000000000002E-3</v>
      </c>
      <c r="G117" s="137">
        <v>0</v>
      </c>
      <c r="H117" s="137">
        <v>0</v>
      </c>
      <c r="I117" s="137">
        <v>0</v>
      </c>
      <c r="J117" s="137">
        <v>0</v>
      </c>
      <c r="K117" s="137">
        <v>0</v>
      </c>
      <c r="L117" s="137">
        <v>0</v>
      </c>
      <c r="M117" s="137">
        <v>0</v>
      </c>
    </row>
    <row r="118" spans="1:13" x14ac:dyDescent="0.25">
      <c r="A118" s="136">
        <v>3012921449</v>
      </c>
      <c r="B118" s="136">
        <v>452</v>
      </c>
      <c r="C118" s="136">
        <v>0</v>
      </c>
      <c r="D118" s="138">
        <v>0</v>
      </c>
      <c r="E118" s="136">
        <v>0</v>
      </c>
      <c r="F118" s="137">
        <v>0</v>
      </c>
      <c r="G118" s="137">
        <v>0</v>
      </c>
      <c r="H118" s="137">
        <v>0</v>
      </c>
      <c r="I118" s="137">
        <v>0</v>
      </c>
      <c r="J118" s="137">
        <v>0</v>
      </c>
      <c r="K118" s="137">
        <v>0</v>
      </c>
      <c r="L118" s="137">
        <v>0</v>
      </c>
      <c r="M118" s="137">
        <v>0</v>
      </c>
    </row>
    <row r="119" spans="1:13" x14ac:dyDescent="0.25">
      <c r="A119" s="136">
        <v>3012940288</v>
      </c>
      <c r="B119" s="136">
        <v>2437</v>
      </c>
      <c r="C119" s="136">
        <v>3125</v>
      </c>
      <c r="D119" s="138">
        <v>1.28</v>
      </c>
      <c r="E119" s="136">
        <v>181</v>
      </c>
      <c r="F119" s="137">
        <v>0.03</v>
      </c>
      <c r="G119" s="137">
        <v>0.05</v>
      </c>
      <c r="H119" s="137">
        <v>0</v>
      </c>
      <c r="I119" s="137">
        <v>0</v>
      </c>
      <c r="J119" s="137">
        <v>0</v>
      </c>
      <c r="K119" s="137">
        <v>0</v>
      </c>
      <c r="L119" s="137">
        <v>0</v>
      </c>
      <c r="M119" s="137">
        <v>0</v>
      </c>
    </row>
    <row r="120" spans="1:13" x14ac:dyDescent="0.25">
      <c r="A120" s="136">
        <v>3013011399</v>
      </c>
      <c r="B120" s="136">
        <v>282</v>
      </c>
      <c r="C120" s="136">
        <v>192</v>
      </c>
      <c r="D120" s="138">
        <v>0.68</v>
      </c>
      <c r="E120" s="136">
        <v>3</v>
      </c>
      <c r="F120" s="137">
        <v>4.0000000000000001E-3</v>
      </c>
      <c r="G120" s="137">
        <v>0</v>
      </c>
      <c r="H120" s="137">
        <v>0</v>
      </c>
      <c r="I120" s="137">
        <v>0</v>
      </c>
      <c r="J120" s="137">
        <v>0</v>
      </c>
      <c r="L120" s="137">
        <v>0</v>
      </c>
      <c r="M120" s="137">
        <v>0</v>
      </c>
    </row>
    <row r="121" spans="1:13" x14ac:dyDescent="0.25">
      <c r="A121" s="136">
        <v>3013027271</v>
      </c>
      <c r="B121" s="136">
        <v>2880</v>
      </c>
      <c r="C121" s="136">
        <v>3606</v>
      </c>
      <c r="D121" s="138">
        <v>1.25</v>
      </c>
      <c r="E121" s="136">
        <v>0</v>
      </c>
      <c r="F121" s="137">
        <v>0.04</v>
      </c>
      <c r="G121" s="137">
        <v>0.05</v>
      </c>
      <c r="H121" s="137">
        <v>0</v>
      </c>
      <c r="I121" s="137">
        <v>0</v>
      </c>
      <c r="J121" s="137">
        <v>0</v>
      </c>
      <c r="K121" s="137">
        <v>0</v>
      </c>
      <c r="L121" s="137">
        <v>0</v>
      </c>
      <c r="M121" s="137">
        <v>0</v>
      </c>
    </row>
    <row r="122" spans="1:13" x14ac:dyDescent="0.25">
      <c r="A122" s="136">
        <v>3013242817</v>
      </c>
      <c r="B122" s="136">
        <v>156</v>
      </c>
      <c r="C122" s="136">
        <v>144</v>
      </c>
      <c r="D122" s="138">
        <v>0.93</v>
      </c>
      <c r="E122" s="136">
        <v>178</v>
      </c>
      <c r="F122" s="137">
        <v>3.0000000000000001E-3</v>
      </c>
      <c r="G122" s="137">
        <v>0</v>
      </c>
      <c r="H122" s="137">
        <v>0</v>
      </c>
      <c r="I122" s="137">
        <v>0</v>
      </c>
      <c r="J122" s="137">
        <v>0</v>
      </c>
      <c r="L122" s="137">
        <v>0</v>
      </c>
      <c r="M122" s="137">
        <v>0</v>
      </c>
    </row>
    <row r="123" spans="1:13" x14ac:dyDescent="0.25">
      <c r="A123" s="136">
        <v>3013271512</v>
      </c>
      <c r="B123" s="136">
        <v>1349</v>
      </c>
      <c r="C123" s="136">
        <v>5</v>
      </c>
      <c r="D123" s="138">
        <v>0</v>
      </c>
      <c r="E123" s="136">
        <v>1663</v>
      </c>
      <c r="F123" s="137">
        <v>1E-4</v>
      </c>
      <c r="G123" s="137">
        <v>0</v>
      </c>
      <c r="H123" s="137">
        <v>0</v>
      </c>
      <c r="I123" s="137">
        <v>0.112</v>
      </c>
      <c r="J123" s="137">
        <v>0</v>
      </c>
      <c r="L123" s="137">
        <v>0</v>
      </c>
      <c r="M123" s="137">
        <v>0</v>
      </c>
    </row>
    <row r="124" spans="1:13" x14ac:dyDescent="0.25">
      <c r="A124" s="136">
        <v>3013294712</v>
      </c>
      <c r="B124" s="136">
        <v>139</v>
      </c>
      <c r="C124" s="136">
        <v>0</v>
      </c>
      <c r="D124" s="138">
        <v>0</v>
      </c>
      <c r="E124" s="136">
        <v>0</v>
      </c>
      <c r="F124" s="137">
        <v>0</v>
      </c>
      <c r="G124" s="137">
        <v>0</v>
      </c>
      <c r="H124" s="137">
        <v>0</v>
      </c>
      <c r="I124" s="137">
        <v>0</v>
      </c>
      <c r="J124" s="137">
        <v>0</v>
      </c>
      <c r="K124" s="137">
        <v>0</v>
      </c>
      <c r="L124" s="137">
        <v>0</v>
      </c>
      <c r="M124" s="137">
        <v>0</v>
      </c>
    </row>
    <row r="125" spans="1:13" x14ac:dyDescent="0.25">
      <c r="A125" s="136">
        <v>3013324963</v>
      </c>
      <c r="B125" s="136">
        <v>174</v>
      </c>
      <c r="C125" s="136">
        <v>144</v>
      </c>
      <c r="D125" s="138">
        <v>0.83</v>
      </c>
      <c r="E125" s="136">
        <v>61</v>
      </c>
      <c r="F125" s="137">
        <v>3.0000000000000001E-3</v>
      </c>
      <c r="G125" s="137">
        <v>0</v>
      </c>
      <c r="H125" s="137">
        <v>0</v>
      </c>
      <c r="I125" s="137">
        <v>0</v>
      </c>
      <c r="J125" s="137">
        <v>0</v>
      </c>
      <c r="L125" s="137">
        <v>0</v>
      </c>
      <c r="M125" s="137">
        <v>0</v>
      </c>
    </row>
    <row r="126" spans="1:13" x14ac:dyDescent="0.25">
      <c r="A126" s="136">
        <v>3013351386</v>
      </c>
      <c r="B126" s="136">
        <v>3774</v>
      </c>
      <c r="C126" s="136">
        <v>5</v>
      </c>
      <c r="D126" s="138">
        <v>0</v>
      </c>
      <c r="E126" s="136">
        <v>3279</v>
      </c>
      <c r="F126" s="137">
        <v>1E-4</v>
      </c>
      <c r="G126" s="137">
        <v>0</v>
      </c>
      <c r="H126" s="137">
        <v>0</v>
      </c>
      <c r="I126" s="137">
        <v>0.25</v>
      </c>
      <c r="J126" s="137">
        <v>0</v>
      </c>
      <c r="K126" s="137">
        <v>0</v>
      </c>
      <c r="L126" s="137">
        <v>0</v>
      </c>
      <c r="M126" s="137">
        <v>0</v>
      </c>
    </row>
    <row r="127" spans="1:13" x14ac:dyDescent="0.25">
      <c r="A127" s="136">
        <v>3013483817</v>
      </c>
      <c r="C127" s="136">
        <v>0</v>
      </c>
      <c r="E127" s="136">
        <v>23980</v>
      </c>
      <c r="F127" s="137">
        <v>0</v>
      </c>
      <c r="G127" s="137">
        <v>0</v>
      </c>
      <c r="H127" s="137">
        <v>0</v>
      </c>
      <c r="I127" s="137">
        <v>0</v>
      </c>
      <c r="J127" s="137">
        <v>0</v>
      </c>
      <c r="L127" s="137">
        <v>0</v>
      </c>
      <c r="M127" s="137">
        <v>0</v>
      </c>
    </row>
    <row r="128" spans="1:13" x14ac:dyDescent="0.25">
      <c r="A128" s="136">
        <v>3013497957</v>
      </c>
      <c r="B128" s="136">
        <v>82</v>
      </c>
      <c r="C128" s="136">
        <v>0</v>
      </c>
      <c r="D128" s="138">
        <v>0</v>
      </c>
      <c r="E128" s="136">
        <v>5</v>
      </c>
      <c r="F128" s="137">
        <v>0</v>
      </c>
      <c r="G128" s="137">
        <v>0</v>
      </c>
      <c r="H128" s="137">
        <v>0</v>
      </c>
      <c r="I128" s="137">
        <v>0</v>
      </c>
      <c r="J128" s="137">
        <v>0</v>
      </c>
      <c r="L128" s="137">
        <v>0</v>
      </c>
      <c r="M128" s="137">
        <v>0</v>
      </c>
    </row>
    <row r="129" spans="1:13" x14ac:dyDescent="0.25">
      <c r="A129" s="136">
        <v>3013569380</v>
      </c>
      <c r="B129" s="136">
        <v>125</v>
      </c>
      <c r="C129" s="136">
        <v>144</v>
      </c>
      <c r="D129" s="138">
        <v>1.1599999999999999</v>
      </c>
      <c r="E129" s="136">
        <v>100</v>
      </c>
      <c r="F129" s="137">
        <v>3.0000000000000001E-3</v>
      </c>
      <c r="G129" s="137">
        <v>0</v>
      </c>
      <c r="H129" s="137">
        <v>0</v>
      </c>
      <c r="I129" s="137">
        <v>0</v>
      </c>
      <c r="J129" s="137">
        <v>0</v>
      </c>
      <c r="L129" s="137">
        <v>0</v>
      </c>
      <c r="M129" s="137">
        <v>0</v>
      </c>
    </row>
    <row r="130" spans="1:13" x14ac:dyDescent="0.25">
      <c r="A130" s="136">
        <v>3013569381</v>
      </c>
      <c r="B130" s="136">
        <v>551</v>
      </c>
      <c r="C130" s="136">
        <v>385</v>
      </c>
      <c r="D130" s="138">
        <v>0.7</v>
      </c>
      <c r="E130" s="136">
        <v>0</v>
      </c>
      <c r="F130" s="137">
        <v>8.0000000000000002E-3</v>
      </c>
      <c r="G130" s="137">
        <v>0</v>
      </c>
      <c r="H130" s="137">
        <v>0</v>
      </c>
      <c r="I130" s="137">
        <v>0</v>
      </c>
      <c r="J130" s="137">
        <v>0</v>
      </c>
      <c r="L130" s="137">
        <v>0</v>
      </c>
      <c r="M130" s="137">
        <v>0</v>
      </c>
    </row>
    <row r="131" spans="1:13" x14ac:dyDescent="0.25">
      <c r="A131" s="136">
        <v>3013708265</v>
      </c>
      <c r="B131" s="136">
        <v>166</v>
      </c>
      <c r="C131" s="136">
        <v>144</v>
      </c>
      <c r="D131" s="138">
        <v>0.87</v>
      </c>
      <c r="E131" s="136">
        <v>29</v>
      </c>
      <c r="F131" s="137">
        <v>3.0000000000000001E-3</v>
      </c>
      <c r="G131" s="137">
        <v>0</v>
      </c>
      <c r="H131" s="137">
        <v>0</v>
      </c>
      <c r="I131" s="137">
        <v>0</v>
      </c>
      <c r="J131" s="137">
        <v>0</v>
      </c>
      <c r="L131" s="137">
        <v>0</v>
      </c>
      <c r="M131" s="137">
        <v>0</v>
      </c>
    </row>
    <row r="132" spans="1:13" x14ac:dyDescent="0.25">
      <c r="A132" s="136">
        <v>3013757563</v>
      </c>
      <c r="B132" s="136">
        <v>4575</v>
      </c>
      <c r="C132" s="136">
        <v>6203</v>
      </c>
      <c r="D132" s="138">
        <v>1.36</v>
      </c>
      <c r="E132" s="136">
        <v>3524</v>
      </c>
      <c r="F132" s="137">
        <v>6.5000000000000002E-2</v>
      </c>
      <c r="G132" s="137">
        <v>0</v>
      </c>
      <c r="H132" s="137">
        <v>0</v>
      </c>
      <c r="I132" s="137">
        <v>0</v>
      </c>
      <c r="J132" s="137">
        <v>0.25</v>
      </c>
      <c r="L132" s="137">
        <v>0</v>
      </c>
      <c r="M132" s="137">
        <v>0</v>
      </c>
    </row>
    <row r="133" spans="1:13" x14ac:dyDescent="0.25">
      <c r="A133" s="136">
        <v>3013757564</v>
      </c>
      <c r="B133" s="136">
        <v>4269</v>
      </c>
      <c r="C133" s="136">
        <v>5481</v>
      </c>
      <c r="D133" s="138">
        <v>1.28</v>
      </c>
      <c r="E133" s="136">
        <v>2490</v>
      </c>
      <c r="F133" s="137">
        <v>0.05</v>
      </c>
      <c r="G133" s="137">
        <v>0</v>
      </c>
      <c r="H133" s="137">
        <v>0</v>
      </c>
      <c r="I133" s="137">
        <v>0</v>
      </c>
      <c r="J133" s="137">
        <v>0.25</v>
      </c>
      <c r="L133" s="137">
        <v>0</v>
      </c>
      <c r="M133" s="137">
        <v>0</v>
      </c>
    </row>
    <row r="134" spans="1:13" x14ac:dyDescent="0.25">
      <c r="A134" s="136">
        <v>3013771324</v>
      </c>
      <c r="B134" s="136">
        <v>45</v>
      </c>
      <c r="E134" s="136">
        <v>0</v>
      </c>
      <c r="F134" s="137">
        <v>0</v>
      </c>
      <c r="G134" s="137">
        <v>0</v>
      </c>
      <c r="H134" s="137">
        <v>0</v>
      </c>
      <c r="I134" s="137">
        <v>0</v>
      </c>
      <c r="J134" s="137">
        <v>0</v>
      </c>
      <c r="K134" s="137">
        <v>0</v>
      </c>
      <c r="L134" s="137">
        <v>0</v>
      </c>
      <c r="M134" s="137">
        <v>0</v>
      </c>
    </row>
    <row r="135" spans="1:13" x14ac:dyDescent="0.25">
      <c r="A135" s="136">
        <v>3013774121</v>
      </c>
      <c r="B135" s="136">
        <v>552</v>
      </c>
      <c r="C135" s="136">
        <v>529</v>
      </c>
      <c r="D135" s="138">
        <v>0.96</v>
      </c>
      <c r="E135" s="136">
        <v>165</v>
      </c>
      <c r="F135" s="137">
        <v>1.0999999999999999E-2</v>
      </c>
      <c r="G135" s="137">
        <v>0</v>
      </c>
      <c r="H135" s="137">
        <v>0</v>
      </c>
      <c r="I135" s="137">
        <v>0</v>
      </c>
      <c r="J135" s="137">
        <v>0</v>
      </c>
      <c r="L135" s="137">
        <v>0</v>
      </c>
      <c r="M135" s="137">
        <v>0</v>
      </c>
    </row>
    <row r="136" spans="1:13" x14ac:dyDescent="0.25">
      <c r="A136" s="136">
        <v>3013791114</v>
      </c>
      <c r="B136" s="136">
        <v>400</v>
      </c>
      <c r="C136" s="136">
        <v>5</v>
      </c>
      <c r="D136" s="138">
        <v>0.01</v>
      </c>
      <c r="E136" s="136">
        <v>1163</v>
      </c>
      <c r="F136" s="137">
        <v>1E-4</v>
      </c>
      <c r="G136" s="137">
        <v>0</v>
      </c>
      <c r="H136" s="137">
        <v>0</v>
      </c>
      <c r="I136" s="137">
        <v>0</v>
      </c>
      <c r="J136" s="137">
        <v>0</v>
      </c>
      <c r="K136" s="137">
        <v>0</v>
      </c>
      <c r="L136" s="137">
        <v>0</v>
      </c>
      <c r="M136" s="137">
        <v>0</v>
      </c>
    </row>
    <row r="137" spans="1:13" x14ac:dyDescent="0.25">
      <c r="A137" s="136">
        <v>3013815201</v>
      </c>
      <c r="B137" s="136">
        <v>611</v>
      </c>
      <c r="C137" s="136">
        <v>5</v>
      </c>
      <c r="D137" s="138">
        <v>0.01</v>
      </c>
      <c r="E137" s="136">
        <v>841</v>
      </c>
      <c r="F137" s="137">
        <v>1E-4</v>
      </c>
      <c r="G137" s="137">
        <v>0</v>
      </c>
      <c r="H137" s="137">
        <v>0</v>
      </c>
      <c r="I137" s="137">
        <v>0.05</v>
      </c>
      <c r="J137" s="137">
        <v>0</v>
      </c>
      <c r="L137" s="137">
        <v>0</v>
      </c>
      <c r="M137" s="137">
        <v>0</v>
      </c>
    </row>
    <row r="138" spans="1:13" x14ac:dyDescent="0.25">
      <c r="A138" s="136">
        <v>3013939291</v>
      </c>
      <c r="B138" s="136">
        <v>13</v>
      </c>
      <c r="E138" s="136">
        <v>0</v>
      </c>
      <c r="F138" s="137">
        <v>0</v>
      </c>
      <c r="G138" s="137">
        <v>0</v>
      </c>
      <c r="H138" s="137">
        <v>0</v>
      </c>
      <c r="I138" s="137">
        <v>0</v>
      </c>
      <c r="J138" s="137">
        <v>0</v>
      </c>
      <c r="L138" s="137">
        <v>0</v>
      </c>
      <c r="M138" s="137">
        <v>0</v>
      </c>
    </row>
    <row r="139" spans="1:13" x14ac:dyDescent="0.25">
      <c r="A139" s="136">
        <v>3013939295</v>
      </c>
      <c r="B139" s="136">
        <v>7</v>
      </c>
      <c r="E139" s="136">
        <v>0</v>
      </c>
      <c r="F139" s="137">
        <v>0</v>
      </c>
      <c r="G139" s="137">
        <v>0</v>
      </c>
      <c r="H139" s="137">
        <v>0</v>
      </c>
      <c r="I139" s="137">
        <v>0</v>
      </c>
      <c r="J139" s="137">
        <v>0</v>
      </c>
      <c r="L139" s="137">
        <v>0</v>
      </c>
      <c r="M139" s="137">
        <v>0</v>
      </c>
    </row>
    <row r="140" spans="1:13" x14ac:dyDescent="0.25">
      <c r="A140" s="136">
        <v>3014018953</v>
      </c>
      <c r="B140" s="136">
        <v>2480</v>
      </c>
      <c r="C140" s="136">
        <v>1540</v>
      </c>
      <c r="D140" s="138">
        <v>0.62</v>
      </c>
      <c r="E140" s="136">
        <v>0</v>
      </c>
      <c r="F140" s="137">
        <v>3.2000000000000001E-2</v>
      </c>
      <c r="G140" s="137">
        <v>0</v>
      </c>
      <c r="H140" s="137">
        <v>0</v>
      </c>
      <c r="I140" s="137">
        <v>0</v>
      </c>
      <c r="J140" s="137">
        <v>0</v>
      </c>
      <c r="K140" s="137">
        <v>0</v>
      </c>
      <c r="L140" s="137">
        <v>0</v>
      </c>
      <c r="M140" s="137">
        <v>0</v>
      </c>
    </row>
    <row r="141" spans="1:13" x14ac:dyDescent="0.25">
      <c r="A141" s="136">
        <v>3014052549</v>
      </c>
      <c r="B141" s="136">
        <v>690</v>
      </c>
      <c r="C141" s="136">
        <v>577</v>
      </c>
      <c r="D141" s="138">
        <v>0.84</v>
      </c>
      <c r="E141" s="136">
        <v>23</v>
      </c>
      <c r="F141" s="137">
        <v>1.2E-2</v>
      </c>
      <c r="G141" s="137">
        <v>0</v>
      </c>
      <c r="H141" s="137">
        <v>0</v>
      </c>
      <c r="I141" s="137">
        <v>0</v>
      </c>
      <c r="J141" s="137">
        <v>0</v>
      </c>
      <c r="K141" s="137">
        <v>0</v>
      </c>
      <c r="L141" s="137">
        <v>0</v>
      </c>
      <c r="M141" s="137">
        <v>0</v>
      </c>
    </row>
    <row r="142" spans="1:13" x14ac:dyDescent="0.25">
      <c r="A142" s="136">
        <v>3014183803</v>
      </c>
      <c r="B142" s="136">
        <v>380</v>
      </c>
      <c r="C142" s="136">
        <v>144</v>
      </c>
      <c r="D142" s="138">
        <v>0.38</v>
      </c>
      <c r="E142" s="136">
        <v>217</v>
      </c>
      <c r="F142" s="137">
        <v>3.0000000000000001E-3</v>
      </c>
      <c r="G142" s="137">
        <v>0</v>
      </c>
      <c r="H142" s="137">
        <v>0</v>
      </c>
      <c r="I142" s="137">
        <v>0</v>
      </c>
      <c r="J142" s="137">
        <v>0</v>
      </c>
      <c r="K142" s="137">
        <v>0</v>
      </c>
      <c r="L142" s="137">
        <v>0</v>
      </c>
      <c r="M142" s="137">
        <v>0</v>
      </c>
    </row>
    <row r="143" spans="1:13" x14ac:dyDescent="0.25">
      <c r="A143" s="136">
        <v>3014340686</v>
      </c>
      <c r="B143" s="136">
        <v>1447</v>
      </c>
      <c r="C143" s="136">
        <v>2177</v>
      </c>
      <c r="D143" s="138">
        <v>1.5</v>
      </c>
      <c r="E143" s="136">
        <v>0</v>
      </c>
      <c r="F143" s="137">
        <v>1.03E-2</v>
      </c>
      <c r="G143" s="137">
        <v>0.05</v>
      </c>
      <c r="H143" s="137">
        <v>0</v>
      </c>
      <c r="I143" s="137">
        <v>0</v>
      </c>
      <c r="J143" s="137">
        <v>0</v>
      </c>
      <c r="K143" s="137">
        <v>0</v>
      </c>
      <c r="L143" s="137">
        <v>0</v>
      </c>
      <c r="M143" s="137">
        <v>0</v>
      </c>
    </row>
    <row r="144" spans="1:13" x14ac:dyDescent="0.25">
      <c r="A144" s="136">
        <v>3014448834</v>
      </c>
      <c r="B144" s="136">
        <v>190</v>
      </c>
      <c r="C144" s="136">
        <v>144</v>
      </c>
      <c r="D144" s="138">
        <v>0.76</v>
      </c>
      <c r="E144" s="136">
        <v>56</v>
      </c>
      <c r="F144" s="137">
        <v>3.0000000000000001E-3</v>
      </c>
      <c r="G144" s="137">
        <v>0</v>
      </c>
      <c r="H144" s="137">
        <v>0</v>
      </c>
      <c r="I144" s="137">
        <v>0</v>
      </c>
      <c r="J144" s="137">
        <v>0</v>
      </c>
      <c r="K144" s="137">
        <v>0</v>
      </c>
      <c r="L144" s="137">
        <v>0</v>
      </c>
      <c r="M144" s="137">
        <v>0</v>
      </c>
    </row>
    <row r="145" spans="1:13" x14ac:dyDescent="0.25">
      <c r="A145" s="136">
        <v>3014922778</v>
      </c>
      <c r="B145" s="136">
        <v>40</v>
      </c>
      <c r="C145" s="136">
        <v>0</v>
      </c>
      <c r="D145" s="138">
        <v>0</v>
      </c>
      <c r="E145" s="136">
        <v>0</v>
      </c>
      <c r="F145" s="137">
        <v>0</v>
      </c>
      <c r="G145" s="137">
        <v>0</v>
      </c>
      <c r="H145" s="137">
        <v>0</v>
      </c>
      <c r="I145" s="137">
        <v>0</v>
      </c>
      <c r="J145" s="137">
        <v>0</v>
      </c>
      <c r="L145" s="137">
        <v>0</v>
      </c>
      <c r="M145" s="137">
        <v>0</v>
      </c>
    </row>
    <row r="146" spans="1:13" x14ac:dyDescent="0.25">
      <c r="A146" s="136">
        <v>3014980485</v>
      </c>
      <c r="B146" s="136">
        <v>919</v>
      </c>
      <c r="C146" s="136">
        <v>529</v>
      </c>
      <c r="D146" s="138">
        <v>0.57999999999999996</v>
      </c>
      <c r="E146" s="136">
        <v>0</v>
      </c>
      <c r="F146" s="137">
        <v>1.0999999999999999E-2</v>
      </c>
      <c r="G146" s="137">
        <v>0</v>
      </c>
      <c r="H146" s="137">
        <v>0</v>
      </c>
      <c r="I146" s="137">
        <v>0</v>
      </c>
      <c r="J146" s="137">
        <v>0</v>
      </c>
      <c r="L146" s="137">
        <v>0</v>
      </c>
      <c r="M146" s="137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CADB9FBF67F540A455C3595BE3CE6D" ma:contentTypeVersion="14" ma:contentTypeDescription="Crie um novo documento." ma:contentTypeScope="" ma:versionID="3d209b7952b69be12edea920015c293c">
  <xsd:schema xmlns:xsd="http://www.w3.org/2001/XMLSchema" xmlns:xs="http://www.w3.org/2001/XMLSchema" xmlns:p="http://schemas.microsoft.com/office/2006/metadata/properties" xmlns:ns2="78c353e2-b895-46dd-9069-c30ce59ac389" xmlns:ns3="3ead7422-5b48-41c8-a894-bd76c0177de2" targetNamespace="http://schemas.microsoft.com/office/2006/metadata/properties" ma:root="true" ma:fieldsID="d4917a03e1214679479df687fa863d69" ns2:_="" ns3:_="">
    <xsd:import namespace="78c353e2-b895-46dd-9069-c30ce59ac389"/>
    <xsd:import namespace="3ead7422-5b48-41c8-a894-bd76c0177d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353e2-b895-46dd-9069-c30ce59ac3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1d1e1739-0137-49a9-ba5b-4575c41157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ad7422-5b48-41c8-a894-bd76c0177de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2fb5259-8df4-40f3-928a-d6f8c12e8d39}" ma:internalName="TaxCatchAll" ma:showField="CatchAllData" ma:web="3ead7422-5b48-41c8-a894-bd76c0177d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c353e2-b895-46dd-9069-c30ce59ac389">
      <Terms xmlns="http://schemas.microsoft.com/office/infopath/2007/PartnerControls"/>
    </lcf76f155ced4ddcb4097134ff3c332f>
    <TaxCatchAll xmlns="3ead7422-5b48-41c8-a894-bd76c0177de2" xsi:nil="true"/>
  </documentManagement>
</p:properties>
</file>

<file path=customXml/itemProps1.xml><?xml version="1.0" encoding="utf-8"?>
<ds:datastoreItem xmlns:ds="http://schemas.openxmlformats.org/officeDocument/2006/customXml" ds:itemID="{D43ED8CA-92F7-40B8-9DDA-3E5BEF9309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23EFA7-C42D-44DC-8135-267827B7E9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c353e2-b895-46dd-9069-c30ce59ac389"/>
    <ds:schemaRef ds:uri="3ead7422-5b48-41c8-a894-bd76c0177d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0E8026-87AC-436B-AC14-B6C1CA7F58A7}">
  <ds:schemaRefs>
    <ds:schemaRef ds:uri="http://schemas.microsoft.com/office/2006/metadata/properties"/>
    <ds:schemaRef ds:uri="http://schemas.microsoft.com/office/infopath/2007/PartnerControls"/>
    <ds:schemaRef ds:uri="78c353e2-b895-46dd-9069-c30ce59ac389"/>
    <ds:schemaRef ds:uri="3ead7422-5b48-41c8-a894-bd76c0177d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Jan-22</vt:lpstr>
      <vt:lpstr>Fev-22</vt:lpstr>
      <vt:lpstr>Mar-22</vt:lpstr>
      <vt:lpstr>Abril-22</vt:lpstr>
      <vt:lpstr>Maio-22</vt:lpstr>
      <vt:lpstr>Junho-22</vt:lpstr>
      <vt:lpstr>Julho-22</vt:lpstr>
      <vt:lpstr>Agosto-22</vt:lpstr>
      <vt:lpstr>Setembro-22</vt:lpstr>
      <vt:lpstr>Outubro-22</vt:lpstr>
      <vt:lpstr>Novembro-22</vt:lpstr>
      <vt:lpstr>Produção</vt:lpstr>
      <vt:lpstr>Simulador</vt:lpstr>
      <vt:lpstr>Consumo Médio - Clientes</vt:lpstr>
      <vt:lpstr>Rateio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Hugo</dc:creator>
  <cp:keywords/>
  <dc:description/>
  <cp:lastModifiedBy>Rodrigo</cp:lastModifiedBy>
  <cp:revision>3</cp:revision>
  <dcterms:created xsi:type="dcterms:W3CDTF">2017-05-15T09:02:54Z</dcterms:created>
  <dcterms:modified xsi:type="dcterms:W3CDTF">2023-05-01T19:12:10Z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0x010100DCCADB9FBF67F540A455C3595BE3CE6D</vt:lpwstr>
  </property>
  <property fmtid="{D5CDD505-2E9C-101B-9397-08002B2CF9AE}" pid="3" name="MediaServiceImageTags">
    <vt:lpwstr/>
  </property>
</Properties>
</file>